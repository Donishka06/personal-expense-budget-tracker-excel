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2.xml" ContentType="application/vnd.openxmlformats-officedocument.drawing+xml"/>
  <Override PartName="/xl/tables/table1.xml" ContentType="application/vnd.openxmlformats-officedocument.spreadsheetml.table+xml"/>
  <Override PartName="/xl/slicers/slicer2.xml" ContentType="application/vnd.ms-excel.slicer+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slicers/slicer3.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workbookPr codeName="ThisWorkbook" hidePivotFieldList="1" defaultThemeVersion="166925"/>
  <mc:AlternateContent xmlns:mc="http://schemas.openxmlformats.org/markup-compatibility/2006">
    <mc:Choice Requires="x15">
      <x15ac:absPath xmlns:x15ac="http://schemas.microsoft.com/office/spreadsheetml/2010/11/ac" url="C:\Users\donis\Downloads\"/>
    </mc:Choice>
  </mc:AlternateContent>
  <xr:revisionPtr revIDLastSave="0" documentId="8_{872E6CBA-92CC-48A0-9FA3-F30ABD6169C5}" xr6:coauthVersionLast="47" xr6:coauthVersionMax="47" xr10:uidLastSave="{00000000-0000-0000-0000-000000000000}"/>
  <bookViews>
    <workbookView xWindow="-108" yWindow="-108" windowWidth="23256" windowHeight="12456" activeTab="3" xr2:uid="{73EF56BD-0C09-4B15-B4BE-39FBC10541FC}"/>
  </bookViews>
  <sheets>
    <sheet name="KPI cards" sheetId="4" r:id="rId1"/>
    <sheet name="Transactions" sheetId="1" r:id="rId2"/>
    <sheet name="Budget" sheetId="2" r:id="rId3"/>
    <sheet name="Dashboard" sheetId="3" r:id="rId4"/>
  </sheets>
  <definedNames>
    <definedName name="_xlcn.WorksheetConnection_Projectexceelllllllll.xlsxTransaction1" hidden="1">Transaction[]</definedName>
    <definedName name="Slicer_Month">#N/A</definedName>
    <definedName name="Slicer_Month1">#N/A</definedName>
  </definedNames>
  <calcPr calcId="191029"/>
  <pivotCaches>
    <pivotCache cacheId="19" r:id="rId5"/>
    <pivotCache cacheId="24" r:id="rId6"/>
  </pivotCaches>
  <extLst>
    <ext xmlns:x14="http://schemas.microsoft.com/office/spreadsheetml/2009/9/main" uri="{BBE1A952-AA13-448e-AADC-164F8A28A991}">
      <x14:slicerCaches>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ransaction" name="Transaction" connection="WorksheetConnection_Project exceelllllllll.xlsx!Transaction"/>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21" i="1" l="1"/>
  <c r="D12" i="3" s="1"/>
  <c r="U21" i="1" a="1"/>
  <c r="U21" i="1" s="1"/>
  <c r="H50" i="1"/>
  <c r="G52" i="1"/>
  <c r="H52" i="1" s="1"/>
  <c r="G51" i="1"/>
  <c r="H51" i="1" s="1"/>
  <c r="Q11" i="4"/>
  <c r="Q10" i="4"/>
  <c r="L4" i="2"/>
  <c r="B14" i="4"/>
  <c r="H3" i="2"/>
  <c r="H4" i="2"/>
  <c r="C11" i="2"/>
  <c r="G5" i="2"/>
  <c r="L3" i="2" s="1"/>
  <c r="C2" i="2"/>
  <c r="C3" i="2"/>
  <c r="C4" i="2"/>
  <c r="C5" i="2"/>
  <c r="C6" i="2"/>
  <c r="C7" i="2"/>
  <c r="C8" i="2"/>
  <c r="C9" i="2"/>
  <c r="C10" i="2"/>
  <c r="B12" i="2"/>
  <c r="C12" i="2" s="1"/>
  <c r="M4" i="2" s="1"/>
  <c r="G2" i="1"/>
  <c r="G3" i="1"/>
  <c r="G4" i="1"/>
  <c r="H4" i="1" s="1"/>
  <c r="G5" i="1"/>
  <c r="H5" i="1" s="1"/>
  <c r="G6" i="1"/>
  <c r="H6" i="1" s="1"/>
  <c r="G7" i="1"/>
  <c r="H7" i="1" s="1"/>
  <c r="G8" i="1"/>
  <c r="H8" i="1" s="1"/>
  <c r="G9" i="1"/>
  <c r="H9" i="1" s="1"/>
  <c r="G10" i="1"/>
  <c r="H10" i="1" s="1"/>
  <c r="G11" i="1"/>
  <c r="H11" i="1" s="1"/>
  <c r="G12" i="1"/>
  <c r="H12" i="1" s="1"/>
  <c r="G13" i="1"/>
  <c r="H13" i="1" s="1"/>
  <c r="G14" i="1"/>
  <c r="H14" i="1" s="1"/>
  <c r="G15" i="1"/>
  <c r="H15" i="1" s="1"/>
  <c r="G16" i="1"/>
  <c r="H16" i="1" s="1"/>
  <c r="G17" i="1"/>
  <c r="H17" i="1" s="1"/>
  <c r="G18" i="1"/>
  <c r="H18" i="1" s="1"/>
  <c r="G19" i="1"/>
  <c r="H19" i="1" s="1"/>
  <c r="G20" i="1"/>
  <c r="H20" i="1" s="1"/>
  <c r="G21" i="1"/>
  <c r="H21" i="1" s="1"/>
  <c r="G22" i="1"/>
  <c r="H22" i="1" s="1"/>
  <c r="G23" i="1"/>
  <c r="H23" i="1" s="1"/>
  <c r="G24" i="1"/>
  <c r="H24" i="1" s="1"/>
  <c r="G25" i="1"/>
  <c r="H25" i="1" s="1"/>
  <c r="G26" i="1"/>
  <c r="H26" i="1" s="1"/>
  <c r="G27" i="1"/>
  <c r="H27" i="1" s="1"/>
  <c r="G28" i="1"/>
  <c r="H28" i="1" s="1"/>
  <c r="G29" i="1"/>
  <c r="H29" i="1" s="1"/>
  <c r="G30" i="1"/>
  <c r="H30" i="1" s="1"/>
  <c r="G31" i="1"/>
  <c r="H31" i="1" s="1"/>
  <c r="G32" i="1"/>
  <c r="H32" i="1" s="1"/>
  <c r="G33" i="1"/>
  <c r="H33" i="1" s="1"/>
  <c r="G34" i="1"/>
  <c r="H34" i="1" s="1"/>
  <c r="G35" i="1"/>
  <c r="H35" i="1" s="1"/>
  <c r="G36" i="1"/>
  <c r="H36" i="1" s="1"/>
  <c r="G37" i="1"/>
  <c r="H37" i="1" s="1"/>
  <c r="G38" i="1"/>
  <c r="H38" i="1" s="1"/>
  <c r="G39" i="1"/>
  <c r="H39" i="1" s="1"/>
  <c r="G40" i="1"/>
  <c r="H40" i="1" s="1"/>
  <c r="G41" i="1"/>
  <c r="H41" i="1" s="1"/>
  <c r="G42" i="1"/>
  <c r="H42" i="1" s="1"/>
  <c r="G43" i="1"/>
  <c r="H43" i="1" s="1"/>
  <c r="G44" i="1"/>
  <c r="H44" i="1" s="1"/>
  <c r="G45" i="1"/>
  <c r="H45" i="1" s="1"/>
  <c r="G46" i="1"/>
  <c r="H46" i="1" s="1"/>
  <c r="G47" i="1"/>
  <c r="H47" i="1" s="1"/>
  <c r="G48" i="1"/>
  <c r="H48" i="1" s="1"/>
  <c r="G49" i="1"/>
  <c r="H49" i="1" s="1"/>
  <c r="G50" i="1"/>
  <c r="E14" i="3"/>
  <c r="E17" i="3"/>
  <c r="E15" i="3"/>
  <c r="L22" i="1"/>
  <c r="E16" i="3"/>
  <c r="Q15" i="1"/>
  <c r="E19" i="3"/>
  <c r="R8" i="1"/>
  <c r="E18" i="3"/>
  <c r="M10" i="1"/>
  <c r="M5" i="1"/>
  <c r="E13" i="3"/>
  <c r="E20" i="3"/>
  <c r="E21" i="3"/>
  <c r="E12" i="3"/>
  <c r="D21" i="3" l="1"/>
  <c r="F21" i="3" s="1"/>
  <c r="G21" i="3" s="1"/>
  <c r="D20" i="3"/>
  <c r="F20" i="3" s="1"/>
  <c r="G20" i="3" s="1"/>
  <c r="D18" i="3"/>
  <c r="F18" i="3" s="1"/>
  <c r="G18" i="3" s="1"/>
  <c r="D17" i="3"/>
  <c r="F17" i="3" s="1"/>
  <c r="G17" i="3" s="1"/>
  <c r="D16" i="3"/>
  <c r="F16" i="3" s="1"/>
  <c r="G16" i="3" s="1"/>
  <c r="D15" i="3"/>
  <c r="F15" i="3" s="1"/>
  <c r="G15" i="3" s="1"/>
  <c r="D14" i="3"/>
  <c r="F14" i="3" s="1"/>
  <c r="G14" i="3" s="1"/>
  <c r="D19" i="3"/>
  <c r="F19" i="3" s="1"/>
  <c r="G19" i="3" s="1"/>
  <c r="D13" i="3"/>
  <c r="F13" i="3" s="1"/>
  <c r="G13" i="3" s="1"/>
  <c r="S20" i="1" a="1"/>
  <c r="S20" i="1" s="1"/>
  <c r="H2" i="1"/>
  <c r="H3" i="1"/>
  <c r="B11" i="4"/>
  <c r="B13" i="4"/>
  <c r="B12" i="4"/>
  <c r="B10" i="4"/>
  <c r="E22" i="3"/>
  <c r="L14" i="1"/>
  <c r="L15" i="1" s="1"/>
  <c r="L5" i="2"/>
  <c r="H5" i="2"/>
  <c r="M3" i="2" s="1"/>
  <c r="M5" i="2" s="1"/>
  <c r="D22" i="3" l="1"/>
  <c r="F22" i="3" s="1"/>
  <c r="G22" i="3" s="1"/>
  <c r="F12" i="3"/>
  <c r="G12" i="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8C054D6-884F-4574-801A-3EE8F04AB18D}"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536A2D6E-D981-4913-81E6-29431D8AABD4}" name="WorksheetConnection_Project exceelllllllll.xlsx!Transaction" type="102" refreshedVersion="8" minRefreshableVersion="5">
    <extLst>
      <ext xmlns:x15="http://schemas.microsoft.com/office/spreadsheetml/2010/11/main" uri="{DE250136-89BD-433C-8126-D09CA5730AF9}">
        <x15:connection id="Transaction">
          <x15:rangePr sourceName="_xlcn.WorksheetConnection_Projectexceelllllllll.xlsxTransaction1"/>
        </x15:connection>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<sst xmlns="http://schemas.openxmlformats.org/spreadsheetml/2006/main" count="304" uniqueCount="91">
  <si>
    <t>Date</t>
  </si>
  <si>
    <t>Category</t>
  </si>
  <si>
    <t>Description</t>
  </si>
  <si>
    <t>Type</t>
  </si>
  <si>
    <t>Amount</t>
  </si>
  <si>
    <t>Month</t>
  </si>
  <si>
    <t>Salary</t>
  </si>
  <si>
    <t>Monthly Salary</t>
  </si>
  <si>
    <t>Income</t>
  </si>
  <si>
    <t>Food</t>
  </si>
  <si>
    <t>Breakfast</t>
  </si>
  <si>
    <t>Expense</t>
  </si>
  <si>
    <t>Transport</t>
  </si>
  <si>
    <t>Bus Fare</t>
  </si>
  <si>
    <t>Lunch</t>
  </si>
  <si>
    <t>Utilities</t>
  </si>
  <si>
    <t>Mobile Recharge</t>
  </si>
  <si>
    <t>Entertainment</t>
  </si>
  <si>
    <t>Movie Ticket</t>
  </si>
  <si>
    <t>Shopping</t>
  </si>
  <si>
    <t>T-Shirt</t>
  </si>
  <si>
    <t>Medical</t>
  </si>
  <si>
    <t>Tablets</t>
  </si>
  <si>
    <t>Education</t>
  </si>
  <si>
    <t>Online Course</t>
  </si>
  <si>
    <t>Freelance</t>
  </si>
  <si>
    <t>Excel Dashboard Work</t>
  </si>
  <si>
    <t>Dinner</t>
  </si>
  <si>
    <t>Auto Fare</t>
  </si>
  <si>
    <t>Shoes</t>
  </si>
  <si>
    <t>Snacks</t>
  </si>
  <si>
    <t>ElectricityBill</t>
  </si>
  <si>
    <t>OTT Subscription</t>
  </si>
  <si>
    <t>Doctor Visit</t>
  </si>
  <si>
    <t>Books</t>
  </si>
  <si>
    <t>Grocery</t>
  </si>
  <si>
    <t>Petrol</t>
  </si>
  <si>
    <t>Jeans</t>
  </si>
  <si>
    <t>Gaming</t>
  </si>
  <si>
    <t>Coffee</t>
  </si>
  <si>
    <t>Internet Bill</t>
  </si>
  <si>
    <t>Vitamins</t>
  </si>
  <si>
    <t>Exam Fee</t>
  </si>
  <si>
    <t>Train Ticket</t>
  </si>
  <si>
    <t>BackPack</t>
  </si>
  <si>
    <t>Concert Ticket</t>
  </si>
  <si>
    <t>Watch</t>
  </si>
  <si>
    <t>Medicine</t>
  </si>
  <si>
    <t>Notebook</t>
  </si>
  <si>
    <t>Data Cleaning work</t>
  </si>
  <si>
    <t>Headphones</t>
  </si>
  <si>
    <t>Dinner out</t>
  </si>
  <si>
    <t>Electricity Bill</t>
  </si>
  <si>
    <t>Health Checkup</t>
  </si>
  <si>
    <t>Online course</t>
  </si>
  <si>
    <t>Monthly Budget</t>
  </si>
  <si>
    <t>Annual Budget</t>
  </si>
  <si>
    <t>personal care</t>
  </si>
  <si>
    <t>Travel</t>
  </si>
  <si>
    <t>Miscellaneous</t>
  </si>
  <si>
    <t>Total Expense Budget</t>
  </si>
  <si>
    <t>INCOME ASSUMPTION</t>
  </si>
  <si>
    <t>Income Source</t>
  </si>
  <si>
    <t>Monthly Amount</t>
  </si>
  <si>
    <t>Annual Amount</t>
  </si>
  <si>
    <t>Freelance(Average)</t>
  </si>
  <si>
    <t>Total Income</t>
  </si>
  <si>
    <t>EXPECTED  SAVINGS TABLE</t>
  </si>
  <si>
    <t>Metric</t>
  </si>
  <si>
    <t>Monthly</t>
  </si>
  <si>
    <t>Annual</t>
  </si>
  <si>
    <t>Expected savings</t>
  </si>
  <si>
    <t>Personal Care</t>
  </si>
  <si>
    <t>Budget</t>
  </si>
  <si>
    <t>Actual</t>
  </si>
  <si>
    <t>Remaining</t>
  </si>
  <si>
    <t>Status</t>
  </si>
  <si>
    <t>Total</t>
  </si>
  <si>
    <t>Row Labels</t>
  </si>
  <si>
    <t>Grand Total</t>
  </si>
  <si>
    <t>Sum of Amount</t>
  </si>
  <si>
    <t>S.No</t>
  </si>
  <si>
    <t>Column Labels</t>
  </si>
  <si>
    <t>Net Saving</t>
  </si>
  <si>
    <t>Savings%</t>
  </si>
  <si>
    <t>Average of Amount</t>
  </si>
  <si>
    <t>Max of Amount</t>
  </si>
  <si>
    <t>Friends Trip</t>
  </si>
  <si>
    <t>Feb</t>
  </si>
  <si>
    <t>Month2</t>
  </si>
  <si>
    <t>Count of Month2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</si>
</sst>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quot;\ #,##0"/>
    <numFmt numFmtId="165" formatCode="&quot;₹&quot;\ #,##0.00"/>
  </numFmts>
  <fonts count="3" x14ac:knownFonts="1">
    <font>
      <sz val="11"/>
      <color theme="1"/>
      <name val="Calibri"/>
      <family val="2"/>
      <scheme val="minor"/>
    </font>
    <font>
      <sz val="11"/>
      <color rgb="FF00B050"/>
      <name val="Calibri"/>
      <family val="2"/>
      <scheme val="minor"/>
    </font>
    <font>
      <b/>
      <sz val="11"/>
      <color theme="0"/>
      <name val="Calibri"/>
      <family val="2"/>
      <scheme val="minor"/>
    </font>
  </fonts>
  <fills count="7">
    <fill>
      <patternFill patternType="none"/>
    </fill>
    <fill>
      <patternFill patternType="gray125"/>
    </fill>
    <fill>
      <patternFill patternType="solid">
        <fgColor theme="4"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4" tint="0.79998168889431442"/>
        <bgColor theme="4" tint="0.79998168889431442"/>
      </patternFill>
    </fill>
    <fill>
      <patternFill patternType="solid">
        <fgColor theme="4"/>
        <bgColor theme="4"/>
      </patternFill>
    </fill>
  </fills>
  <borders count="7">
    <border>
      <left/>
      <right/>
      <top/>
      <bottom/>
      <diagonal/>
    </border>
    <border>
      <left/>
      <right/>
      <top style="thin">
        <color theme="4" tint="0.39997558519241921"/>
      </top>
      <bottom/>
      <diagonal/>
    </border>
    <border>
      <left style="thin">
        <color theme="4" tint="0.39997558519241921"/>
      </left>
      <right/>
      <top style="thin">
        <color theme="4" tint="0.39997558519241921"/>
      </top>
      <bottom/>
      <diagonal/>
    </border>
    <border>
      <left/>
      <right style="thin">
        <color theme="4" tint="0.39997558519241921"/>
      </right>
      <top style="thin">
        <color theme="4" tint="0.39997558519241921"/>
      </top>
      <bottom/>
      <diagonal/>
    </border>
    <border>
      <left/>
      <right style="thin">
        <color theme="4" tint="0.39997558519241921"/>
      </right>
      <top/>
      <bottom/>
      <diagonal/>
    </border>
    <border>
      <left style="thin">
        <color theme="4" tint="0.39997558519241921"/>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9">
    <xf numFmtId="0" fontId="0" fillId="0" borderId="0" xfId="0"/>
    <xf numFmtId="0" fontId="0" fillId="3" borderId="0" xfId="0" applyFill="1" applyAlignment="1">
      <alignment horizontal="centerContinuous"/>
    </xf>
    <xf numFmtId="10"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xf numFmtId="164" fontId="0" fillId="3" borderId="0" xfId="0" applyNumberFormat="1" applyFill="1" applyAlignment="1">
      <alignment horizontal="centerContinuous"/>
    </xf>
    <xf numFmtId="14" fontId="0" fillId="5" borderId="2" xfId="0" applyNumberFormat="1" applyFill="1" applyBorder="1"/>
    <xf numFmtId="0" fontId="0" fillId="5" borderId="1" xfId="0" applyFill="1" applyBorder="1"/>
    <xf numFmtId="164" fontId="0" fillId="5" borderId="1" xfId="0" applyNumberFormat="1" applyFill="1" applyBorder="1"/>
    <xf numFmtId="0" fontId="0" fillId="5" borderId="3" xfId="0" applyFill="1" applyBorder="1"/>
    <xf numFmtId="14" fontId="0" fillId="0" borderId="2" xfId="0" applyNumberFormat="1" applyBorder="1"/>
    <xf numFmtId="0" fontId="0" fillId="0" borderId="1" xfId="0" applyBorder="1"/>
    <xf numFmtId="164" fontId="0" fillId="0" borderId="1" xfId="0" applyNumberFormat="1" applyBorder="1"/>
    <xf numFmtId="0" fontId="0" fillId="0" borderId="3" xfId="0" applyBorder="1"/>
    <xf numFmtId="0" fontId="2" fillId="6" borderId="4" xfId="0" applyFont="1" applyFill="1" applyBorder="1"/>
    <xf numFmtId="0" fontId="2" fillId="2" borderId="5" xfId="0" applyFont="1" applyFill="1" applyBorder="1"/>
    <xf numFmtId="0" fontId="2" fillId="2" borderId="0" xfId="0" applyFont="1" applyFill="1"/>
    <xf numFmtId="164" fontId="2" fillId="2" borderId="0" xfId="0" applyNumberFormat="1" applyFont="1" applyFill="1"/>
    <xf numFmtId="165" fontId="0" fillId="0" borderId="0" xfId="0" applyNumberFormat="1"/>
    <xf numFmtId="0" fontId="0" fillId="4" borderId="6" xfId="0" applyFill="1" applyBorder="1"/>
    <xf numFmtId="0" fontId="0" fillId="0" borderId="6" xfId="0" applyBorder="1"/>
    <xf numFmtId="0" fontId="0" fillId="0" borderId="6" xfId="0" applyBorder="1" applyAlignment="1">
      <alignment horizontal="center" vertical="center"/>
    </xf>
    <xf numFmtId="0" fontId="1" fillId="0" borderId="6" xfId="0" applyFont="1" applyBorder="1"/>
    <xf numFmtId="0" fontId="0" fillId="4" borderId="6" xfId="0" applyFill="1" applyBorder="1" applyAlignment="1">
      <alignment horizontal="center" vertical="center"/>
    </xf>
    <xf numFmtId="0" fontId="1" fillId="4" borderId="6" xfId="0" applyFont="1" applyFill="1" applyBorder="1"/>
    <xf numFmtId="0" fontId="0" fillId="0" borderId="0" xfId="0" applyNumberFormat="1"/>
    <xf numFmtId="0" fontId="0" fillId="5" borderId="0" xfId="0" applyFont="1" applyFill="1" applyBorder="1"/>
  </cellXfs>
  <cellStyles count="1">
    <cellStyle name="Normal" xfId="0" builtinId="0"/>
  </cellStyles>
  <dxfs count="19">
    <dxf>
      <font>
        <b val="0"/>
        <i val="0"/>
        <strike val="0"/>
        <condense val="0"/>
        <extend val="0"/>
        <outline val="0"/>
        <shadow val="0"/>
        <u val="none"/>
        <vertAlign val="baseline"/>
        <sz val="11"/>
        <color theme="1"/>
        <name val="Calibri"/>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font>
        <color rgb="FF9C0006"/>
      </font>
    </dxf>
    <dxf>
      <font>
        <color rgb="FF9C0006"/>
      </font>
    </dxf>
    <dxf>
      <font>
        <color rgb="FF9C0006"/>
      </font>
    </dxf>
    <dxf>
      <numFmt numFmtId="164" formatCode="&quot;₹&quot;\ #,##0"/>
    </dxf>
    <dxf>
      <numFmt numFmtId="164" formatCode="&quot;₹&quot;\ #,##0"/>
    </dxf>
    <dxf>
      <numFmt numFmtId="164" formatCode="&quot;₹&quot;\ #,##0"/>
    </dxf>
    <dxf>
      <numFmt numFmtId="164" formatCode="&quot;₹&quot;\ #,##0"/>
    </dxf>
    <dxf>
      <numFmt numFmtId="0" formatCode="Genera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4" formatCode="&quot;₹&quot;\ #,##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9" formatCode="dd/mm/yyyy"/>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style="thin">
          <color theme="4" tint="0.39997558519241921"/>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1"/>
        <color theme="0"/>
        <name val="Calibri"/>
        <family val="2"/>
        <scheme val="minor"/>
      </font>
      <fill>
        <patternFill patternType="solid">
          <fgColor indexed="64"/>
          <bgColor theme="4" tint="0.399975585192419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sheetMetadata" Target="metadata.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styles" Target="styles.xml"/><Relationship Id="rId5" Type="http://schemas.openxmlformats.org/officeDocument/2006/relationships/pivotCacheDefinition" Target="pivotCache/pivotCacheDefinition1.xml"/><Relationship Id="rId15" Type="http://schemas.openxmlformats.org/officeDocument/2006/relationships/calcChain" Target="calcChain.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powerPivotData" Target="model/item.data"/></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 expense budget tracker.xlsm]KPI cards!PivotTable3</c:name>
    <c:fmtId val="20"/>
  </c:pivotSource>
  <c:chart>
    <c:title>
      <c:tx>
        <c:rich>
          <a:bodyPr rot="0" spcFirstLastPara="1" vertOverflow="ellipsis" vert="horz" wrap="square" anchor="ctr" anchorCtr="1"/>
          <a:lstStyle/>
          <a:p>
            <a:pPr>
              <a:defRPr sz="14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r>
              <a:rPr lang="en-US" b="0" cap="none" spc="0">
                <a:ln w="0"/>
                <a:solidFill>
                  <a:schemeClr val="tx1"/>
                </a:solidFill>
                <a:effectLst>
                  <a:outerShdw blurRad="38100" dist="19050" dir="2700000" algn="tl" rotWithShape="0">
                    <a:schemeClr val="dk1">
                      <a:alpha val="40000"/>
                    </a:schemeClr>
                  </a:outerShdw>
                </a:effectLst>
              </a:rPr>
              <a:t>MONTHLY</a:t>
            </a:r>
            <a:r>
              <a:rPr lang="en-US" b="0" cap="none" spc="0" baseline="0">
                <a:ln w="0"/>
                <a:solidFill>
                  <a:schemeClr val="tx1"/>
                </a:solidFill>
                <a:effectLst>
                  <a:outerShdw blurRad="38100" dist="19050" dir="2700000" algn="tl" rotWithShape="0">
                    <a:schemeClr val="dk1">
                      <a:alpha val="40000"/>
                    </a:schemeClr>
                  </a:outerShdw>
                </a:effectLst>
              </a:rPr>
              <a:t> EXPENSES TREND</a:t>
            </a:r>
            <a:endParaRPr lang="en-US" b="0" cap="none" spc="0">
              <a:ln w="0"/>
              <a:solidFill>
                <a:schemeClr val="tx1"/>
              </a:solidFill>
              <a:effectLst>
                <a:outerShdw blurRad="38100" dist="19050" dir="2700000" algn="tl" rotWithShape="0">
                  <a:schemeClr val="dk1">
                    <a:alpha val="40000"/>
                  </a:schemeClr>
                </a:outerShdw>
              </a:effectLst>
            </a:endParaRPr>
          </a:p>
        </c:rich>
      </c:tx>
      <c:layout>
        <c:manualLayout>
          <c:xMode val="edge"/>
          <c:yMode val="edge"/>
          <c:x val="0.31907687122767242"/>
          <c:y val="0.13993763600062811"/>
        </c:manualLayout>
      </c:layout>
      <c:overlay val="0"/>
      <c:spPr>
        <a:noFill/>
        <a:ln>
          <a:noFill/>
        </a:ln>
        <a:effectLst/>
      </c:spPr>
      <c:txPr>
        <a:bodyPr rot="0" spcFirstLastPara="1" vertOverflow="ellipsis" vert="horz" wrap="square" anchor="ctr" anchorCtr="1"/>
        <a:lstStyle/>
        <a:p>
          <a:pPr>
            <a:defRPr sz="14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 cards'!$B$3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'KPI cards'!$A$4:$A$5</c:f>
              <c:strCache>
                <c:ptCount val="1"/>
                <c:pt idx="0">
                  <c:v>Feb</c:v>
                </c:pt>
              </c:strCache>
            </c:strRef>
          </c:cat>
          <c:val>
            <c:numRef>
              <c:f>'KPI cards'!$B$4:$B$5</c:f>
              <c:numCache>
                <c:formatCode>General</c:formatCode>
                <c:ptCount val="1"/>
                <c:pt idx="0">
                  <c:v>17951</c:v>
                </c:pt>
              </c:numCache>
            </c:numRef>
          </c:val>
          <c:smooth val="0"/>
          <c:extLst>
            <c:ext xmlns:c16="http://schemas.microsoft.com/office/drawing/2014/chart" uri="{C3380CC4-5D6E-409C-BE32-E72D297353CC}">
              <c16:uniqueId val="{00000000-68B4-479F-B55D-D8E11FFD973C}"/>
            </c:ext>
          </c:extLst>
        </c:ser>
        <c:dLbls>
          <c:showLegendKey val="0"/>
          <c:showVal val="0"/>
          <c:showCatName val="0"/>
          <c:showSerName val="0"/>
          <c:showPercent val="0"/>
          <c:showBubbleSize val="0"/>
        </c:dLbls>
        <c:marker val="1"/>
        <c:smooth val="0"/>
        <c:axId val="301504799"/>
        <c:axId val="301505279"/>
      </c:lineChart>
      <c:catAx>
        <c:axId val="3015047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1505279"/>
        <c:crosses val="autoZero"/>
        <c:auto val="1"/>
        <c:lblAlgn val="ctr"/>
        <c:lblOffset val="100"/>
        <c:noMultiLvlLbl val="0"/>
      </c:catAx>
      <c:valAx>
        <c:axId val="3015052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15047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6">
        <a:lumMod val="60000"/>
        <a:lumOff val="4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 expense budget tracker.xlsm]KPI cards!PivotTable2</c:name>
    <c:fmtId val="2"/>
  </c:pivotSource>
  <c:chart>
    <c:title>
      <c:tx>
        <c:rich>
          <a:bodyPr rot="0" spcFirstLastPara="1" vertOverflow="ellipsis" vert="horz" wrap="square" anchor="ctr" anchorCtr="1"/>
          <a:lstStyle/>
          <a:p>
            <a:pPr>
              <a:defRPr sz="14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r>
              <a:rPr lang="en-IN" b="0" cap="none" spc="0">
                <a:ln w="0"/>
                <a:solidFill>
                  <a:schemeClr val="tx1"/>
                </a:solidFill>
                <a:effectLst>
                  <a:outerShdw blurRad="38100" dist="19050" dir="2700000" algn="tl" rotWithShape="0">
                    <a:schemeClr val="dk1">
                      <a:alpha val="40000"/>
                    </a:schemeClr>
                  </a:outerShdw>
                </a:effectLst>
              </a:rPr>
              <a:t>EXPENSES</a:t>
            </a:r>
          </a:p>
        </c:rich>
      </c:tx>
      <c:layout>
        <c:manualLayout>
          <c:xMode val="edge"/>
          <c:yMode val="edge"/>
          <c:x val="0.42407318388885484"/>
          <c:y val="3.546899121981776E-2"/>
        </c:manualLayout>
      </c:layout>
      <c:overlay val="0"/>
      <c:spPr>
        <a:noFill/>
        <a:ln>
          <a:noFill/>
        </a:ln>
        <a:effectLst/>
      </c:spPr>
      <c:txPr>
        <a:bodyPr rot="0" spcFirstLastPara="1" vertOverflow="ellipsis" vert="horz" wrap="square" anchor="ctr" anchorCtr="1"/>
        <a:lstStyle/>
        <a:p>
          <a:pPr>
            <a:defRPr sz="14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25400">
            <a:solidFill>
              <a:schemeClr val="lt1"/>
            </a:solidFill>
          </a:ln>
          <a:effectLst/>
          <a:sp3d contourW="25400">
            <a:contourClr>
              <a:schemeClr val="lt1"/>
            </a:contourClr>
          </a:sp3d>
        </c:spPr>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4102030026790133"/>
          <c:y val="0.21666323858184805"/>
          <c:w val="0.70151341905954889"/>
          <c:h val="0.60480648655976488"/>
        </c:manualLayout>
      </c:layout>
      <c:pie3DChart>
        <c:varyColors val="1"/>
        <c:ser>
          <c:idx val="0"/>
          <c:order val="0"/>
          <c:tx>
            <c:strRef>
              <c:f>'KPI cards'!$H$16</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4D8A-49F6-87EB-24BDC62E3D4E}"/>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4D8A-49F6-87EB-24BDC62E3D4E}"/>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4D8A-49F6-87EB-24BDC62E3D4E}"/>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4D8A-49F6-87EB-24BDC62E3D4E}"/>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4D8A-49F6-87EB-24BDC62E3D4E}"/>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4D8A-49F6-87EB-24BDC62E3D4E}"/>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4D8A-49F6-87EB-24BDC62E3D4E}"/>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4D8A-49F6-87EB-24BDC62E3D4E}"/>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4D8A-49F6-87EB-24BDC62E3D4E}"/>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'KPI cards'!$G$17:$G$25</c:f>
              <c:strCache>
                <c:ptCount val="8"/>
                <c:pt idx="0">
                  <c:v>Education</c:v>
                </c:pt>
                <c:pt idx="1">
                  <c:v>Entertainment</c:v>
                </c:pt>
                <c:pt idx="2">
                  <c:v>Food</c:v>
                </c:pt>
                <c:pt idx="3">
                  <c:v>Medical</c:v>
                </c:pt>
                <c:pt idx="4">
                  <c:v>Shopping</c:v>
                </c:pt>
                <c:pt idx="5">
                  <c:v>Transport</c:v>
                </c:pt>
                <c:pt idx="6">
                  <c:v>Utilities</c:v>
                </c:pt>
                <c:pt idx="7">
                  <c:v>Travel</c:v>
                </c:pt>
              </c:strCache>
            </c:strRef>
          </c:cat>
          <c:val>
            <c:numRef>
              <c:f>'KPI cards'!$H$17:$H$25</c:f>
              <c:numCache>
                <c:formatCode>General</c:formatCode>
                <c:ptCount val="8"/>
                <c:pt idx="0">
                  <c:v>1619</c:v>
                </c:pt>
                <c:pt idx="1">
                  <c:v>1050</c:v>
                </c:pt>
                <c:pt idx="2">
                  <c:v>3400</c:v>
                </c:pt>
                <c:pt idx="3">
                  <c:v>1175</c:v>
                </c:pt>
                <c:pt idx="4">
                  <c:v>4498</c:v>
                </c:pt>
                <c:pt idx="5">
                  <c:v>1660</c:v>
                </c:pt>
                <c:pt idx="6">
                  <c:v>1549</c:v>
                </c:pt>
                <c:pt idx="7">
                  <c:v>3000</c:v>
                </c:pt>
              </c:numCache>
            </c:numRef>
          </c:val>
          <c:extLst>
            <c:ext xmlns:c16="http://schemas.microsoft.com/office/drawing/2014/chart" uri="{C3380CC4-5D6E-409C-BE32-E72D297353CC}">
              <c16:uniqueId val="{00000000-7489-4E64-A16A-D96C78C730C8}"/>
            </c:ext>
          </c:extLst>
        </c:ser>
        <c:dLbls>
          <c:dLblPos val="bestFit"/>
          <c:showLegendKey val="0"/>
          <c:showVal val="0"/>
          <c:showCatName val="0"/>
          <c:showSerName val="0"/>
          <c:showPercent val="0"/>
          <c:showBubbleSize val="0"/>
          <c:showLeaderLines val="0"/>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6">
        <a:lumMod val="60000"/>
        <a:lumOff val="4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 expense budget tracker.xlsm]KPI cards!PivotTable4</c:name>
    <c:fmtId val="1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'KPI cards'!$K$16:$K$17</c:f>
              <c:strCache>
                <c:ptCount val="1"/>
                <c:pt idx="0">
                  <c:v>Expense</c:v>
                </c:pt>
              </c:strCache>
            </c:strRef>
          </c:tx>
          <c:spPr>
            <a:solidFill>
              <a:schemeClr val="accent1"/>
            </a:solidFill>
            <a:ln>
              <a:noFill/>
            </a:ln>
            <a:effectLst/>
          </c:spPr>
          <c:invertIfNegative val="0"/>
          <c:cat>
            <c:strRef>
              <c:f>'KPI cards'!$J$18:$J$28</c:f>
              <c:strCache>
                <c:ptCount val="10"/>
                <c:pt idx="0">
                  <c:v>Education</c:v>
                </c:pt>
                <c:pt idx="1">
                  <c:v>Entertainment</c:v>
                </c:pt>
                <c:pt idx="2">
                  <c:v>Food</c:v>
                </c:pt>
                <c:pt idx="3">
                  <c:v>Freelance</c:v>
                </c:pt>
                <c:pt idx="4">
                  <c:v>Medical</c:v>
                </c:pt>
                <c:pt idx="5">
                  <c:v>Salary</c:v>
                </c:pt>
                <c:pt idx="6">
                  <c:v>Shopping</c:v>
                </c:pt>
                <c:pt idx="7">
                  <c:v>Transport</c:v>
                </c:pt>
                <c:pt idx="8">
                  <c:v>Utilities</c:v>
                </c:pt>
                <c:pt idx="9">
                  <c:v>Travel</c:v>
                </c:pt>
              </c:strCache>
            </c:strRef>
          </c:cat>
          <c:val>
            <c:numRef>
              <c:f>'KPI cards'!$K$18:$K$28</c:f>
              <c:numCache>
                <c:formatCode>General</c:formatCode>
                <c:ptCount val="10"/>
                <c:pt idx="0">
                  <c:v>1619</c:v>
                </c:pt>
                <c:pt idx="1">
                  <c:v>1050</c:v>
                </c:pt>
                <c:pt idx="2">
                  <c:v>3400</c:v>
                </c:pt>
                <c:pt idx="4">
                  <c:v>1175</c:v>
                </c:pt>
                <c:pt idx="6">
                  <c:v>4498</c:v>
                </c:pt>
                <c:pt idx="7">
                  <c:v>1660</c:v>
                </c:pt>
                <c:pt idx="8">
                  <c:v>1549</c:v>
                </c:pt>
                <c:pt idx="9">
                  <c:v>3000</c:v>
                </c:pt>
              </c:numCache>
            </c:numRef>
          </c:val>
          <c:extLst>
            <c:ext xmlns:c16="http://schemas.microsoft.com/office/drawing/2014/chart" uri="{C3380CC4-5D6E-409C-BE32-E72D297353CC}">
              <c16:uniqueId val="{00000000-93E1-41ED-823B-2BCC35FA9762}"/>
            </c:ext>
          </c:extLst>
        </c:ser>
        <c:ser>
          <c:idx val="1"/>
          <c:order val="1"/>
          <c:tx>
            <c:strRef>
              <c:f>'KPI cards'!$L$16:$L$17</c:f>
              <c:strCache>
                <c:ptCount val="1"/>
                <c:pt idx="0">
                  <c:v>Income</c:v>
                </c:pt>
              </c:strCache>
            </c:strRef>
          </c:tx>
          <c:spPr>
            <a:solidFill>
              <a:schemeClr val="accent2"/>
            </a:solidFill>
            <a:ln>
              <a:noFill/>
            </a:ln>
            <a:effectLst/>
          </c:spPr>
          <c:invertIfNegative val="0"/>
          <c:cat>
            <c:strRef>
              <c:f>'KPI cards'!$J$18:$J$28</c:f>
              <c:strCache>
                <c:ptCount val="10"/>
                <c:pt idx="0">
                  <c:v>Education</c:v>
                </c:pt>
                <c:pt idx="1">
                  <c:v>Entertainment</c:v>
                </c:pt>
                <c:pt idx="2">
                  <c:v>Food</c:v>
                </c:pt>
                <c:pt idx="3">
                  <c:v>Freelance</c:v>
                </c:pt>
                <c:pt idx="4">
                  <c:v>Medical</c:v>
                </c:pt>
                <c:pt idx="5">
                  <c:v>Salary</c:v>
                </c:pt>
                <c:pt idx="6">
                  <c:v>Shopping</c:v>
                </c:pt>
                <c:pt idx="7">
                  <c:v>Transport</c:v>
                </c:pt>
                <c:pt idx="8">
                  <c:v>Utilities</c:v>
                </c:pt>
                <c:pt idx="9">
                  <c:v>Travel</c:v>
                </c:pt>
              </c:strCache>
            </c:strRef>
          </c:cat>
          <c:val>
            <c:numRef>
              <c:f>'KPI cards'!$L$18:$L$28</c:f>
              <c:numCache>
                <c:formatCode>General</c:formatCode>
                <c:ptCount val="10"/>
                <c:pt idx="3">
                  <c:v>4500</c:v>
                </c:pt>
                <c:pt idx="5">
                  <c:v>35000</c:v>
                </c:pt>
              </c:numCache>
            </c:numRef>
          </c:val>
          <c:extLst>
            <c:ext xmlns:c16="http://schemas.microsoft.com/office/drawing/2014/chart" uri="{C3380CC4-5D6E-409C-BE32-E72D297353CC}">
              <c16:uniqueId val="{00000005-FA62-44DC-B6CB-542DDC166EF5}"/>
            </c:ext>
          </c:extLst>
        </c:ser>
        <c:dLbls>
          <c:showLegendKey val="0"/>
          <c:showVal val="0"/>
          <c:showCatName val="0"/>
          <c:showSerName val="0"/>
          <c:showPercent val="0"/>
          <c:showBubbleSize val="0"/>
        </c:dLbls>
        <c:gapWidth val="219"/>
        <c:overlap val="-27"/>
        <c:axId val="684243680"/>
        <c:axId val="684239840"/>
      </c:barChart>
      <c:catAx>
        <c:axId val="6842436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4239840"/>
        <c:crosses val="autoZero"/>
        <c:auto val="1"/>
        <c:lblAlgn val="ctr"/>
        <c:lblOffset val="100"/>
        <c:noMultiLvlLbl val="0"/>
      </c:catAx>
      <c:valAx>
        <c:axId val="6842398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42436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6">
        <a:lumMod val="60000"/>
        <a:lumOff val="4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8" Type="http://schemas.openxmlformats.org/officeDocument/2006/relationships/image" Target="../media/image8.sv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chart" Target="../charts/chart3.xml"/><Relationship Id="rId5" Type="http://schemas.openxmlformats.org/officeDocument/2006/relationships/image" Target="../media/image5.png"/><Relationship Id="rId10" Type="http://schemas.openxmlformats.org/officeDocument/2006/relationships/chart" Target="../charts/chart2.xml"/><Relationship Id="rId4" Type="http://schemas.openxmlformats.org/officeDocument/2006/relationships/image" Target="../media/image4.svg"/><Relationship Id="rId9"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10</xdr:col>
      <xdr:colOff>320040</xdr:colOff>
      <xdr:row>5</xdr:row>
      <xdr:rowOff>91441</xdr:rowOff>
    </xdr:from>
    <xdr:to>
      <xdr:col>11</xdr:col>
      <xdr:colOff>327660</xdr:colOff>
      <xdr:row>10</xdr:row>
      <xdr:rowOff>68580</xdr:rowOff>
    </xdr:to>
    <mc:AlternateContent xmlns:mc="http://schemas.openxmlformats.org/markup-compatibility/2006" xmlns:a14="http://schemas.microsoft.com/office/drawing/2010/main">
      <mc:Choice Requires="a14">
        <xdr:graphicFrame macro="">
          <xdr:nvGraphicFramePr>
            <xdr:cNvPr id="3" name="Month 2">
              <a:extLst>
                <a:ext uri="{FF2B5EF4-FFF2-40B4-BE49-F238E27FC236}">
                  <a16:creationId xmlns:a16="http://schemas.microsoft.com/office/drawing/2014/main" id="{24400DAE-5BF8-9C78-3C1C-302AB14CE20F}"/>
                </a:ext>
              </a:extLst>
            </xdr:cNvPr>
            <xdr:cNvGraphicFramePr/>
          </xdr:nvGraphicFramePr>
          <xdr:xfrm>
            <a:off x="0" y="0"/>
            <a:ext cx="0" cy="0"/>
          </xdr:xfrm>
          <a:graphic>
            <a:graphicData uri="http://schemas.microsoft.com/office/drawing/2010/slicer">
              <sle:slicer xmlns:sle="http://schemas.microsoft.com/office/drawing/2010/slicer" name="Month 2"/>
            </a:graphicData>
          </a:graphic>
        </xdr:graphicFrame>
      </mc:Choice>
      <mc:Fallback xmlns="">
        <xdr:sp macro="" textlink="">
          <xdr:nvSpPr>
            <xdr:cNvPr id="0" name=""/>
            <xdr:cNvSpPr>
              <a:spLocks noTextEdit="1"/>
            </xdr:cNvSpPr>
          </xdr:nvSpPr>
          <xdr:spPr>
            <a:xfrm>
              <a:off x="8709660" y="1005841"/>
              <a:ext cx="1074420" cy="8915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281940</xdr:colOff>
      <xdr:row>6</xdr:row>
      <xdr:rowOff>7620</xdr:rowOff>
    </xdr:from>
    <xdr:to>
      <xdr:col>9</xdr:col>
      <xdr:colOff>986789</xdr:colOff>
      <xdr:row>9</xdr:row>
      <xdr:rowOff>80889</xdr:rowOff>
    </xdr:to>
    <mc:AlternateContent xmlns:mc="http://schemas.openxmlformats.org/markup-compatibility/2006" xmlns:a14="http://schemas.microsoft.com/office/drawing/2010/main">
      <mc:Choice Requires="a14">
        <xdr:graphicFrame macro="">
          <xdr:nvGraphicFramePr>
            <xdr:cNvPr id="4" name="Month 4">
              <a:extLst>
                <a:ext uri="{FF2B5EF4-FFF2-40B4-BE49-F238E27FC236}">
                  <a16:creationId xmlns:a16="http://schemas.microsoft.com/office/drawing/2014/main" id="{8C1ED023-6923-4D09-9EA7-BB911415E349}"/>
                </a:ext>
              </a:extLst>
            </xdr:cNvPr>
            <xdr:cNvGraphicFramePr/>
          </xdr:nvGraphicFramePr>
          <xdr:xfrm>
            <a:off x="0" y="0"/>
            <a:ext cx="0" cy="0"/>
          </xdr:xfrm>
          <a:graphic>
            <a:graphicData uri="http://schemas.microsoft.com/office/drawing/2010/slicer">
              <sle:slicer xmlns:sle="http://schemas.microsoft.com/office/drawing/2010/slicer" name="Month 4"/>
            </a:graphicData>
          </a:graphic>
        </xdr:graphicFrame>
      </mc:Choice>
      <mc:Fallback xmlns="">
        <xdr:sp macro="" textlink="">
          <xdr:nvSpPr>
            <xdr:cNvPr id="0" name=""/>
            <xdr:cNvSpPr>
              <a:spLocks noTextEdit="1"/>
            </xdr:cNvSpPr>
          </xdr:nvSpPr>
          <xdr:spPr>
            <a:xfrm>
              <a:off x="7071360" y="1104900"/>
              <a:ext cx="1314449" cy="62190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18</xdr:col>
      <xdr:colOff>6350</xdr:colOff>
      <xdr:row>5</xdr:row>
      <xdr:rowOff>100647</xdr:rowOff>
    </xdr:from>
    <xdr:to>
      <xdr:col>20</xdr:col>
      <xdr:colOff>565150</xdr:colOff>
      <xdr:row>12</xdr:row>
      <xdr:rowOff>15876</xdr:rowOff>
    </xdr:to>
    <mc:AlternateContent xmlns:mc="http://schemas.openxmlformats.org/markup-compatibility/2006">
      <mc:Choice xmlns:a14="http://schemas.microsoft.com/office/drawing/2010/main" Requires="a14">
        <xdr:graphicFrame macro="">
          <xdr:nvGraphicFramePr>
            <xdr:cNvPr id="2" name="Month">
              <a:extLst>
                <a:ext uri="{FF2B5EF4-FFF2-40B4-BE49-F238E27FC236}">
                  <a16:creationId xmlns:a16="http://schemas.microsoft.com/office/drawing/2014/main" id="{54782609-2D20-E687-70C1-86CBCA8CECA9}"/>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13587413" y="1013460"/>
              <a:ext cx="1828800" cy="119316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2</xdr:col>
      <xdr:colOff>84667</xdr:colOff>
      <xdr:row>46</xdr:row>
      <xdr:rowOff>75260</xdr:rowOff>
    </xdr:from>
    <xdr:to>
      <xdr:col>4</xdr:col>
      <xdr:colOff>206964</xdr:colOff>
      <xdr:row>50</xdr:row>
      <xdr:rowOff>47036</xdr:rowOff>
    </xdr:to>
    <xdr:sp macro="" textlink="">
      <xdr:nvSpPr>
        <xdr:cNvPr id="14" name="Oval 13">
          <a:extLst>
            <a:ext uri="{FF2B5EF4-FFF2-40B4-BE49-F238E27FC236}">
              <a16:creationId xmlns:a16="http://schemas.microsoft.com/office/drawing/2014/main" id="{E4610558-E48C-EE09-4E4D-D5342BFB46C0}"/>
            </a:ext>
          </a:extLst>
        </xdr:cNvPr>
        <xdr:cNvSpPr/>
      </xdr:nvSpPr>
      <xdr:spPr>
        <a:xfrm>
          <a:off x="1307630" y="8297334"/>
          <a:ext cx="1599260" cy="686739"/>
        </a:xfrm>
        <a:prstGeom prst="ellipse">
          <a:avLst/>
        </a:prstGeom>
        <a:solidFill>
          <a:schemeClr val="accent5">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xdr:col>
      <xdr:colOff>600807</xdr:colOff>
      <xdr:row>0</xdr:row>
      <xdr:rowOff>14654</xdr:rowOff>
    </xdr:from>
    <xdr:to>
      <xdr:col>16</xdr:col>
      <xdr:colOff>439163</xdr:colOff>
      <xdr:row>3</xdr:row>
      <xdr:rowOff>60960</xdr:rowOff>
    </xdr:to>
    <xdr:sp macro="" textlink="">
      <xdr:nvSpPr>
        <xdr:cNvPr id="3" name="Rectangle 2">
          <a:extLst>
            <a:ext uri="{FF2B5EF4-FFF2-40B4-BE49-F238E27FC236}">
              <a16:creationId xmlns:a16="http://schemas.microsoft.com/office/drawing/2014/main" id="{866DA5C1-E3FE-353F-1617-376FA6A09951}"/>
            </a:ext>
          </a:extLst>
        </xdr:cNvPr>
        <xdr:cNvSpPr/>
      </xdr:nvSpPr>
      <xdr:spPr>
        <a:xfrm>
          <a:off x="1208942" y="14654"/>
          <a:ext cx="9726344" cy="595825"/>
        </a:xfrm>
        <a:prstGeom prst="rect">
          <a:avLst/>
        </a:prstGeom>
        <a:solidFill>
          <a:schemeClr val="accent6">
            <a:lumMod val="60000"/>
            <a:lumOff val="4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IN" sz="2000" b="0" cap="none" spc="0">
              <a:ln w="0"/>
              <a:solidFill>
                <a:schemeClr val="tx1"/>
              </a:solidFill>
              <a:effectLst>
                <a:outerShdw blurRad="38100" dist="19050" dir="2700000" algn="tl" rotWithShape="0">
                  <a:schemeClr val="dk1">
                    <a:alpha val="40000"/>
                  </a:schemeClr>
                </a:outerShdw>
              </a:effectLst>
            </a:rPr>
            <a:t>         </a:t>
          </a:r>
          <a:r>
            <a:rPr lang="en-IN" sz="2400" b="0" cap="none" spc="0">
              <a:ln w="0"/>
              <a:solidFill>
                <a:schemeClr val="tx1"/>
              </a:solidFill>
              <a:effectLst>
                <a:outerShdw blurRad="38100" dist="19050" dir="2700000" algn="tl" rotWithShape="0">
                  <a:schemeClr val="dk1">
                    <a:alpha val="40000"/>
                  </a:schemeClr>
                </a:outerShdw>
              </a:effectLst>
            </a:rPr>
            <a:t>PERSONAL</a:t>
          </a:r>
          <a:r>
            <a:rPr lang="en-IN" sz="2400" b="0" cap="none" spc="0" baseline="0">
              <a:ln w="0"/>
              <a:solidFill>
                <a:schemeClr val="tx1"/>
              </a:solidFill>
              <a:effectLst>
                <a:outerShdw blurRad="38100" dist="19050" dir="2700000" algn="tl" rotWithShape="0">
                  <a:schemeClr val="dk1">
                    <a:alpha val="40000"/>
                  </a:schemeClr>
                </a:outerShdw>
              </a:effectLst>
            </a:rPr>
            <a:t> EXPENSE / BUDGET TRACKER - DASHBOARD</a:t>
          </a:r>
        </a:p>
        <a:p>
          <a:pPr algn="l"/>
          <a:endParaRPr lang="en-IN"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editAs="absolute">
    <xdr:from>
      <xdr:col>2</xdr:col>
      <xdr:colOff>7620</xdr:colOff>
      <xdr:row>3</xdr:row>
      <xdr:rowOff>175260</xdr:rowOff>
    </xdr:from>
    <xdr:to>
      <xdr:col>5</xdr:col>
      <xdr:colOff>159056</xdr:colOff>
      <xdr:row>9</xdr:row>
      <xdr:rowOff>0</xdr:rowOff>
    </xdr:to>
    <xdr:sp macro="" textlink="">
      <xdr:nvSpPr>
        <xdr:cNvPr id="4" name="Rectangle: Rounded Corners 3">
          <a:extLst>
            <a:ext uri="{FF2B5EF4-FFF2-40B4-BE49-F238E27FC236}">
              <a16:creationId xmlns:a16="http://schemas.microsoft.com/office/drawing/2014/main" id="{509DA3C4-EA66-EE77-9189-907CEF648B1B}"/>
            </a:ext>
          </a:extLst>
        </xdr:cNvPr>
        <xdr:cNvSpPr/>
      </xdr:nvSpPr>
      <xdr:spPr>
        <a:xfrm>
          <a:off x="1226820" y="723900"/>
          <a:ext cx="2316480" cy="922020"/>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IN" sz="1100"/>
            <a:t>                  </a:t>
          </a:r>
        </a:p>
      </xdr:txBody>
    </xdr:sp>
    <xdr:clientData/>
  </xdr:twoCellAnchor>
  <xdr:oneCellAnchor>
    <xdr:from>
      <xdr:col>3</xdr:col>
      <xdr:colOff>160020</xdr:colOff>
      <xdr:row>6</xdr:row>
      <xdr:rowOff>45720</xdr:rowOff>
    </xdr:from>
    <xdr:ext cx="184731" cy="264560"/>
    <xdr:sp macro="" textlink="">
      <xdr:nvSpPr>
        <xdr:cNvPr id="9" name="TextBox 8">
          <a:extLst>
            <a:ext uri="{FF2B5EF4-FFF2-40B4-BE49-F238E27FC236}">
              <a16:creationId xmlns:a16="http://schemas.microsoft.com/office/drawing/2014/main" id="{30DEC416-DF34-B03D-E269-A6ACEB343B57}"/>
            </a:ext>
          </a:extLst>
        </xdr:cNvPr>
        <xdr:cNvSpPr txBox="1"/>
      </xdr:nvSpPr>
      <xdr:spPr>
        <a:xfrm>
          <a:off x="1988820" y="11430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twoCellAnchor editAs="absolute">
    <xdr:from>
      <xdr:col>2</xdr:col>
      <xdr:colOff>1488</xdr:colOff>
      <xdr:row>4</xdr:row>
      <xdr:rowOff>422</xdr:rowOff>
    </xdr:from>
    <xdr:to>
      <xdr:col>2</xdr:col>
      <xdr:colOff>792480</xdr:colOff>
      <xdr:row>9</xdr:row>
      <xdr:rowOff>7620</xdr:rowOff>
    </xdr:to>
    <xdr:sp macro="" textlink="">
      <xdr:nvSpPr>
        <xdr:cNvPr id="26" name="Rectangle: Rounded Corners 25">
          <a:extLst>
            <a:ext uri="{FF2B5EF4-FFF2-40B4-BE49-F238E27FC236}">
              <a16:creationId xmlns:a16="http://schemas.microsoft.com/office/drawing/2014/main" id="{A749DE50-82D2-D120-EF0F-DB798CED7DE9}"/>
            </a:ext>
          </a:extLst>
        </xdr:cNvPr>
        <xdr:cNvSpPr/>
      </xdr:nvSpPr>
      <xdr:spPr>
        <a:xfrm>
          <a:off x="1219200" y="731520"/>
          <a:ext cx="792480" cy="922020"/>
        </a:xfrm>
        <a:prstGeom prst="roundRect">
          <a:avLst/>
        </a:prstGeom>
        <a:solidFill>
          <a:schemeClr val="accent6">
            <a:lumMod val="60000"/>
            <a:lumOff val="4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IN" sz="1100"/>
            <a:t>                  </a:t>
          </a:r>
        </a:p>
      </xdr:txBody>
    </xdr:sp>
    <xdr:clientData/>
  </xdr:twoCellAnchor>
  <xdr:twoCellAnchor editAs="absolute">
    <xdr:from>
      <xdr:col>5</xdr:col>
      <xdr:colOff>326696</xdr:colOff>
      <xdr:row>3</xdr:row>
      <xdr:rowOff>175260</xdr:rowOff>
    </xdr:from>
    <xdr:to>
      <xdr:col>8</xdr:col>
      <xdr:colOff>385823</xdr:colOff>
      <xdr:row>9</xdr:row>
      <xdr:rowOff>0</xdr:rowOff>
    </xdr:to>
    <xdr:sp macro="" textlink="">
      <xdr:nvSpPr>
        <xdr:cNvPr id="27" name="Rectangle: Rounded Corners 26">
          <a:extLst>
            <a:ext uri="{FF2B5EF4-FFF2-40B4-BE49-F238E27FC236}">
              <a16:creationId xmlns:a16="http://schemas.microsoft.com/office/drawing/2014/main" id="{4180C21C-5D49-9B95-2A11-0CB7C403B088}"/>
            </a:ext>
          </a:extLst>
        </xdr:cNvPr>
        <xdr:cNvSpPr/>
      </xdr:nvSpPr>
      <xdr:spPr>
        <a:xfrm>
          <a:off x="3710940" y="723900"/>
          <a:ext cx="2316480" cy="922020"/>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IN" sz="1100"/>
            <a:t>                  </a:t>
          </a:r>
        </a:p>
      </xdr:txBody>
    </xdr:sp>
    <xdr:clientData/>
  </xdr:twoCellAnchor>
  <xdr:twoCellAnchor editAs="absolute">
    <xdr:from>
      <xdr:col>8</xdr:col>
      <xdr:colOff>522983</xdr:colOff>
      <xdr:row>4</xdr:row>
      <xdr:rowOff>422</xdr:rowOff>
    </xdr:from>
    <xdr:to>
      <xdr:col>12</xdr:col>
      <xdr:colOff>401062</xdr:colOff>
      <xdr:row>9</xdr:row>
      <xdr:rowOff>7620</xdr:rowOff>
    </xdr:to>
    <xdr:sp macro="" textlink="">
      <xdr:nvSpPr>
        <xdr:cNvPr id="28" name="Rectangle: Rounded Corners 27">
          <a:extLst>
            <a:ext uri="{FF2B5EF4-FFF2-40B4-BE49-F238E27FC236}">
              <a16:creationId xmlns:a16="http://schemas.microsoft.com/office/drawing/2014/main" id="{5C4E1BA7-9E01-1B5E-69D6-CBD2FDDE71B8}"/>
            </a:ext>
          </a:extLst>
        </xdr:cNvPr>
        <xdr:cNvSpPr/>
      </xdr:nvSpPr>
      <xdr:spPr>
        <a:xfrm>
          <a:off x="6164580" y="731520"/>
          <a:ext cx="2316480" cy="922020"/>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IN" sz="1100"/>
            <a:t>                  </a:t>
          </a:r>
        </a:p>
      </xdr:txBody>
    </xdr:sp>
    <xdr:clientData/>
  </xdr:twoCellAnchor>
  <xdr:twoCellAnchor editAs="absolute">
    <xdr:from>
      <xdr:col>12</xdr:col>
      <xdr:colOff>568702</xdr:colOff>
      <xdr:row>3</xdr:row>
      <xdr:rowOff>175260</xdr:rowOff>
    </xdr:from>
    <xdr:to>
      <xdr:col>16</xdr:col>
      <xdr:colOff>446783</xdr:colOff>
      <xdr:row>9</xdr:row>
      <xdr:rowOff>0</xdr:rowOff>
    </xdr:to>
    <xdr:sp macro="" textlink="">
      <xdr:nvSpPr>
        <xdr:cNvPr id="29" name="Rectangle: Rounded Corners 28">
          <a:extLst>
            <a:ext uri="{FF2B5EF4-FFF2-40B4-BE49-F238E27FC236}">
              <a16:creationId xmlns:a16="http://schemas.microsoft.com/office/drawing/2014/main" id="{0B2131A1-4DF0-A704-5874-4A103DDD6748}"/>
            </a:ext>
          </a:extLst>
        </xdr:cNvPr>
        <xdr:cNvSpPr/>
      </xdr:nvSpPr>
      <xdr:spPr>
        <a:xfrm>
          <a:off x="8648700" y="723900"/>
          <a:ext cx="2316480" cy="922020"/>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IN" sz="1100"/>
            <a:t>                  </a:t>
          </a:r>
        </a:p>
      </xdr:txBody>
    </xdr:sp>
    <xdr:clientData/>
  </xdr:twoCellAnchor>
  <xdr:twoCellAnchor editAs="absolute">
    <xdr:from>
      <xdr:col>5</xdr:col>
      <xdr:colOff>319076</xdr:colOff>
      <xdr:row>3</xdr:row>
      <xdr:rowOff>167640</xdr:rowOff>
    </xdr:from>
    <xdr:to>
      <xdr:col>6</xdr:col>
      <xdr:colOff>405982</xdr:colOff>
      <xdr:row>8</xdr:row>
      <xdr:rowOff>175260</xdr:rowOff>
    </xdr:to>
    <xdr:sp macro="" textlink="">
      <xdr:nvSpPr>
        <xdr:cNvPr id="35" name="Rectangle: Rounded Corners 34">
          <a:extLst>
            <a:ext uri="{FF2B5EF4-FFF2-40B4-BE49-F238E27FC236}">
              <a16:creationId xmlns:a16="http://schemas.microsoft.com/office/drawing/2014/main" id="{C4549E6F-3AB6-9DDD-5F19-0F33714A66DA}"/>
            </a:ext>
          </a:extLst>
        </xdr:cNvPr>
        <xdr:cNvSpPr/>
      </xdr:nvSpPr>
      <xdr:spPr>
        <a:xfrm>
          <a:off x="3703320" y="716280"/>
          <a:ext cx="792480" cy="922020"/>
        </a:xfrm>
        <a:prstGeom prst="roundRect">
          <a:avLst/>
        </a:prstGeom>
        <a:solidFill>
          <a:schemeClr val="accent6">
            <a:lumMod val="60000"/>
            <a:lumOff val="4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IN" sz="1100"/>
            <a:t>                  </a:t>
          </a:r>
        </a:p>
      </xdr:txBody>
    </xdr:sp>
    <xdr:clientData/>
  </xdr:twoCellAnchor>
  <xdr:twoCellAnchor editAs="absolute">
    <xdr:from>
      <xdr:col>8</xdr:col>
      <xdr:colOff>522983</xdr:colOff>
      <xdr:row>4</xdr:row>
      <xdr:rowOff>422</xdr:rowOff>
    </xdr:from>
    <xdr:to>
      <xdr:col>10</xdr:col>
      <xdr:colOff>98192</xdr:colOff>
      <xdr:row>9</xdr:row>
      <xdr:rowOff>7620</xdr:rowOff>
    </xdr:to>
    <xdr:sp macro="" textlink="">
      <xdr:nvSpPr>
        <xdr:cNvPr id="36" name="Rectangle: Rounded Corners 35">
          <a:extLst>
            <a:ext uri="{FF2B5EF4-FFF2-40B4-BE49-F238E27FC236}">
              <a16:creationId xmlns:a16="http://schemas.microsoft.com/office/drawing/2014/main" id="{B0C8FD59-FEDF-7DB3-4E02-FCC5C3531508}"/>
            </a:ext>
          </a:extLst>
        </xdr:cNvPr>
        <xdr:cNvSpPr/>
      </xdr:nvSpPr>
      <xdr:spPr>
        <a:xfrm>
          <a:off x="6164580" y="731520"/>
          <a:ext cx="792480" cy="922020"/>
        </a:xfrm>
        <a:prstGeom prst="roundRect">
          <a:avLst/>
        </a:prstGeom>
        <a:solidFill>
          <a:schemeClr val="accent6">
            <a:lumMod val="60000"/>
            <a:lumOff val="4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IN" sz="1100"/>
            <a:t>                  </a:t>
          </a:r>
        </a:p>
      </xdr:txBody>
    </xdr:sp>
    <xdr:clientData/>
  </xdr:twoCellAnchor>
  <xdr:twoCellAnchor editAs="absolute">
    <xdr:from>
      <xdr:col>12</xdr:col>
      <xdr:colOff>568702</xdr:colOff>
      <xdr:row>4</xdr:row>
      <xdr:rowOff>422</xdr:rowOff>
    </xdr:from>
    <xdr:to>
      <xdr:col>14</xdr:col>
      <xdr:colOff>143912</xdr:colOff>
      <xdr:row>9</xdr:row>
      <xdr:rowOff>7620</xdr:rowOff>
    </xdr:to>
    <xdr:sp macro="" textlink="">
      <xdr:nvSpPr>
        <xdr:cNvPr id="37" name="Rectangle: Rounded Corners 36">
          <a:extLst>
            <a:ext uri="{FF2B5EF4-FFF2-40B4-BE49-F238E27FC236}">
              <a16:creationId xmlns:a16="http://schemas.microsoft.com/office/drawing/2014/main" id="{5D4F6800-F6F0-798B-37B9-45B06E88F9C1}"/>
            </a:ext>
          </a:extLst>
        </xdr:cNvPr>
        <xdr:cNvSpPr/>
      </xdr:nvSpPr>
      <xdr:spPr>
        <a:xfrm>
          <a:off x="8648700" y="731520"/>
          <a:ext cx="792480" cy="922020"/>
        </a:xfrm>
        <a:prstGeom prst="roundRect">
          <a:avLst/>
        </a:prstGeom>
        <a:solidFill>
          <a:schemeClr val="accent6">
            <a:lumMod val="60000"/>
            <a:lumOff val="4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IN" sz="1100"/>
            <a:t>                  </a:t>
          </a:r>
        </a:p>
      </xdr:txBody>
    </xdr:sp>
    <xdr:clientData/>
  </xdr:twoCellAnchor>
  <xdr:twoCellAnchor editAs="absolute">
    <xdr:from>
      <xdr:col>3</xdr:col>
      <xdr:colOff>44755</xdr:colOff>
      <xdr:row>4</xdr:row>
      <xdr:rowOff>129540</xdr:rowOff>
    </xdr:from>
    <xdr:to>
      <xdr:col>5</xdr:col>
      <xdr:colOff>143816</xdr:colOff>
      <xdr:row>6</xdr:row>
      <xdr:rowOff>30480</xdr:rowOff>
    </xdr:to>
    <xdr:sp macro="" textlink="">
      <xdr:nvSpPr>
        <xdr:cNvPr id="38" name="TextBox 37">
          <a:extLst>
            <a:ext uri="{FF2B5EF4-FFF2-40B4-BE49-F238E27FC236}">
              <a16:creationId xmlns:a16="http://schemas.microsoft.com/office/drawing/2014/main" id="{E3AD0D75-C744-048C-7E2C-07C2E5DB381E}"/>
            </a:ext>
          </a:extLst>
        </xdr:cNvPr>
        <xdr:cNvSpPr txBox="1"/>
      </xdr:nvSpPr>
      <xdr:spPr>
        <a:xfrm>
          <a:off x="2209800" y="861060"/>
          <a:ext cx="131826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400" b="1">
              <a:solidFill>
                <a:schemeClr val="accent6">
                  <a:lumMod val="50000"/>
                </a:schemeClr>
              </a:solidFill>
              <a:latin typeface="Aptos Narrow" panose="020B0004020202020204" pitchFamily="34" charset="0"/>
            </a:rPr>
            <a:t>TOTAL INCOME</a:t>
          </a:r>
        </a:p>
        <a:p>
          <a:endParaRPr lang="en-IN" sz="1100"/>
        </a:p>
      </xdr:txBody>
    </xdr:sp>
    <xdr:clientData/>
  </xdr:twoCellAnchor>
  <xdr:twoCellAnchor>
    <xdr:from>
      <xdr:col>3</xdr:col>
      <xdr:colOff>54987</xdr:colOff>
      <xdr:row>6</xdr:row>
      <xdr:rowOff>29308</xdr:rowOff>
    </xdr:from>
    <xdr:to>
      <xdr:col>5</xdr:col>
      <xdr:colOff>9646</xdr:colOff>
      <xdr:row>8</xdr:row>
      <xdr:rowOff>70924</xdr:rowOff>
    </xdr:to>
    <xdr:sp macro="" textlink="Transactions!M5">
      <xdr:nvSpPr>
        <xdr:cNvPr id="39" name="TextBox 38">
          <a:extLst>
            <a:ext uri="{FF2B5EF4-FFF2-40B4-BE49-F238E27FC236}">
              <a16:creationId xmlns:a16="http://schemas.microsoft.com/office/drawing/2014/main" id="{C62DD5F0-04E4-69B7-4C4D-389A8D97F68D}"/>
            </a:ext>
          </a:extLst>
        </xdr:cNvPr>
        <xdr:cNvSpPr txBox="1"/>
      </xdr:nvSpPr>
      <xdr:spPr>
        <a:xfrm>
          <a:off x="2215595" y="1128903"/>
          <a:ext cx="1170000" cy="40814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B370659-B343-4B15-9F9D-00CBDB280BEF}" type="TxLink">
            <a:rPr lang="en-US" sz="2000" b="0" i="0" u="none" strike="noStrike">
              <a:solidFill>
                <a:srgbClr val="000000"/>
              </a:solidFill>
              <a:latin typeface="Calibri"/>
              <a:ea typeface="Calibri"/>
              <a:cs typeface="Calibri"/>
            </a:rPr>
            <a:pPr/>
            <a:t>₹ 39,500</a:t>
          </a:fld>
          <a:endParaRPr lang="en-US" sz="2000"/>
        </a:p>
      </xdr:txBody>
    </xdr:sp>
    <xdr:clientData/>
  </xdr:twoCellAnchor>
  <xdr:twoCellAnchor editAs="absolute">
    <xdr:from>
      <xdr:col>6</xdr:col>
      <xdr:colOff>474562</xdr:colOff>
      <xdr:row>4</xdr:row>
      <xdr:rowOff>152400</xdr:rowOff>
    </xdr:from>
    <xdr:to>
      <xdr:col>8</xdr:col>
      <xdr:colOff>364892</xdr:colOff>
      <xdr:row>6</xdr:row>
      <xdr:rowOff>91440</xdr:rowOff>
    </xdr:to>
    <xdr:sp macro="" textlink="">
      <xdr:nvSpPr>
        <xdr:cNvPr id="40" name="TextBox 39">
          <a:extLst>
            <a:ext uri="{FF2B5EF4-FFF2-40B4-BE49-F238E27FC236}">
              <a16:creationId xmlns:a16="http://schemas.microsoft.com/office/drawing/2014/main" id="{48262DA7-F60D-7B0E-D083-0FE207564508}"/>
            </a:ext>
          </a:extLst>
        </xdr:cNvPr>
        <xdr:cNvSpPr txBox="1"/>
      </xdr:nvSpPr>
      <xdr:spPr>
        <a:xfrm>
          <a:off x="4564380" y="883920"/>
          <a:ext cx="1440180" cy="304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chemeClr val="accent6">
                  <a:lumMod val="50000"/>
                </a:schemeClr>
              </a:solidFill>
              <a:latin typeface="Aptos Narrow" panose="020B0004020202020204" pitchFamily="34" charset="0"/>
            </a:rPr>
            <a:t>TOTAL EXPENSE</a:t>
          </a:r>
        </a:p>
        <a:p>
          <a:endParaRPr lang="en-IN" sz="1400"/>
        </a:p>
      </xdr:txBody>
    </xdr:sp>
    <xdr:clientData/>
  </xdr:twoCellAnchor>
  <xdr:twoCellAnchor editAs="absolute">
    <xdr:from>
      <xdr:col>10</xdr:col>
      <xdr:colOff>303932</xdr:colOff>
      <xdr:row>4</xdr:row>
      <xdr:rowOff>175260</xdr:rowOff>
    </xdr:from>
    <xdr:to>
      <xdr:col>12</xdr:col>
      <xdr:colOff>265832</xdr:colOff>
      <xdr:row>6</xdr:row>
      <xdr:rowOff>137160</xdr:rowOff>
    </xdr:to>
    <xdr:sp macro="" textlink="">
      <xdr:nvSpPr>
        <xdr:cNvPr id="41" name="TextBox 40">
          <a:extLst>
            <a:ext uri="{FF2B5EF4-FFF2-40B4-BE49-F238E27FC236}">
              <a16:creationId xmlns:a16="http://schemas.microsoft.com/office/drawing/2014/main" id="{75C2C1B7-EDCC-ED95-8244-BEC2B43D447B}"/>
            </a:ext>
          </a:extLst>
        </xdr:cNvPr>
        <xdr:cNvSpPr txBox="1"/>
      </xdr:nvSpPr>
      <xdr:spPr>
        <a:xfrm>
          <a:off x="7162800" y="906780"/>
          <a:ext cx="1181100" cy="3276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chemeClr val="accent6">
                  <a:lumMod val="50000"/>
                </a:schemeClr>
              </a:solidFill>
              <a:latin typeface="Aptos Narrow" panose="020B0004020202020204" pitchFamily="34" charset="0"/>
            </a:rPr>
            <a:t>NET SAVINGS</a:t>
          </a:r>
        </a:p>
        <a:p>
          <a:endParaRPr lang="en-IN" sz="1100"/>
        </a:p>
      </xdr:txBody>
    </xdr:sp>
    <xdr:clientData/>
  </xdr:twoCellAnchor>
  <xdr:twoCellAnchor editAs="absolute">
    <xdr:from>
      <xdr:col>14</xdr:col>
      <xdr:colOff>342032</xdr:colOff>
      <xdr:row>4</xdr:row>
      <xdr:rowOff>129540</xdr:rowOff>
    </xdr:from>
    <xdr:to>
      <xdr:col>16</xdr:col>
      <xdr:colOff>220112</xdr:colOff>
      <xdr:row>6</xdr:row>
      <xdr:rowOff>121920</xdr:rowOff>
    </xdr:to>
    <xdr:sp macro="" textlink="">
      <xdr:nvSpPr>
        <xdr:cNvPr id="42" name="TextBox 41">
          <a:extLst>
            <a:ext uri="{FF2B5EF4-FFF2-40B4-BE49-F238E27FC236}">
              <a16:creationId xmlns:a16="http://schemas.microsoft.com/office/drawing/2014/main" id="{7724AEA9-DA93-6807-D6E9-96E3B5D46AD9}"/>
            </a:ext>
          </a:extLst>
        </xdr:cNvPr>
        <xdr:cNvSpPr txBox="1"/>
      </xdr:nvSpPr>
      <xdr:spPr>
        <a:xfrm>
          <a:off x="9639300" y="861060"/>
          <a:ext cx="1097280" cy="3581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chemeClr val="accent6">
                  <a:lumMod val="50000"/>
                </a:schemeClr>
              </a:solidFill>
              <a:latin typeface="Aptos Narrow" panose="020B0004020202020204" pitchFamily="34" charset="0"/>
            </a:rPr>
            <a:t>SAVINGS %</a:t>
          </a:r>
        </a:p>
      </xdr:txBody>
    </xdr:sp>
    <xdr:clientData/>
  </xdr:twoCellAnchor>
  <xdr:twoCellAnchor>
    <xdr:from>
      <xdr:col>6</xdr:col>
      <xdr:colOff>536722</xdr:colOff>
      <xdr:row>6</xdr:row>
      <xdr:rowOff>33386</xdr:rowOff>
    </xdr:from>
    <xdr:to>
      <xdr:col>8</xdr:col>
      <xdr:colOff>221849</xdr:colOff>
      <xdr:row>7</xdr:row>
      <xdr:rowOff>165566</xdr:rowOff>
    </xdr:to>
    <xdr:sp macro="" textlink="Transactions!M10">
      <xdr:nvSpPr>
        <xdr:cNvPr id="43" name="TextBox 42">
          <a:extLst>
            <a:ext uri="{FF2B5EF4-FFF2-40B4-BE49-F238E27FC236}">
              <a16:creationId xmlns:a16="http://schemas.microsoft.com/office/drawing/2014/main" id="{835C4732-536D-5050-789C-198CA8EB142E}"/>
            </a:ext>
          </a:extLst>
        </xdr:cNvPr>
        <xdr:cNvSpPr txBox="1"/>
      </xdr:nvSpPr>
      <xdr:spPr>
        <a:xfrm>
          <a:off x="4616798" y="1132981"/>
          <a:ext cx="1228418" cy="31544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FD67A4F-D5D9-46E8-BF15-43921ACE8226}" type="TxLink">
            <a:rPr lang="en-US" sz="2000" b="0" i="0" u="none" strike="noStrike">
              <a:solidFill>
                <a:srgbClr val="000000"/>
              </a:solidFill>
              <a:latin typeface="Calibri"/>
              <a:ea typeface="Calibri"/>
              <a:cs typeface="Calibri"/>
            </a:rPr>
            <a:pPr/>
            <a:t>₹ 17,951</a:t>
          </a:fld>
          <a:endParaRPr lang="en-IN" sz="2000"/>
        </a:p>
      </xdr:txBody>
    </xdr:sp>
    <xdr:clientData/>
  </xdr:twoCellAnchor>
  <xdr:twoCellAnchor>
    <xdr:from>
      <xdr:col>10</xdr:col>
      <xdr:colOff>373952</xdr:colOff>
      <xdr:row>6</xdr:row>
      <xdr:rowOff>47746</xdr:rowOff>
    </xdr:from>
    <xdr:to>
      <xdr:col>12</xdr:col>
      <xdr:colOff>305958</xdr:colOff>
      <xdr:row>7</xdr:row>
      <xdr:rowOff>162046</xdr:rowOff>
    </xdr:to>
    <xdr:sp macro="" textlink="Transactions!L14">
      <xdr:nvSpPr>
        <xdr:cNvPr id="44" name="TextBox 43">
          <a:extLst>
            <a:ext uri="{FF2B5EF4-FFF2-40B4-BE49-F238E27FC236}">
              <a16:creationId xmlns:a16="http://schemas.microsoft.com/office/drawing/2014/main" id="{62718AB8-B3BD-144B-7DAA-4B4E0C178664}"/>
            </a:ext>
          </a:extLst>
        </xdr:cNvPr>
        <xdr:cNvSpPr txBox="1"/>
      </xdr:nvSpPr>
      <xdr:spPr>
        <a:xfrm>
          <a:off x="7212661" y="1147341"/>
          <a:ext cx="1147348" cy="29756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EB6B7F1-9B8B-4C21-9D2A-C7A0696F934D}" type="TxLink">
            <a:rPr lang="en-US" sz="2000" b="0" i="0" u="none" strike="noStrike">
              <a:solidFill>
                <a:srgbClr val="000000"/>
              </a:solidFill>
              <a:latin typeface="Calibri"/>
              <a:ea typeface="Calibri"/>
              <a:cs typeface="Calibri"/>
            </a:rPr>
            <a:pPr/>
            <a:t>₹ 21,549</a:t>
          </a:fld>
          <a:endParaRPr lang="en-US" sz="2000"/>
        </a:p>
      </xdr:txBody>
    </xdr:sp>
    <xdr:clientData/>
  </xdr:twoCellAnchor>
  <xdr:twoCellAnchor>
    <xdr:from>
      <xdr:col>14</xdr:col>
      <xdr:colOff>354861</xdr:colOff>
      <xdr:row>6</xdr:row>
      <xdr:rowOff>1639</xdr:rowOff>
    </xdr:from>
    <xdr:to>
      <xdr:col>16</xdr:col>
      <xdr:colOff>289367</xdr:colOff>
      <xdr:row>7</xdr:row>
      <xdr:rowOff>146805</xdr:rowOff>
    </xdr:to>
    <xdr:sp macro="" textlink="Transactions!L15">
      <xdr:nvSpPr>
        <xdr:cNvPr id="45" name="TextBox 44">
          <a:extLst>
            <a:ext uri="{FF2B5EF4-FFF2-40B4-BE49-F238E27FC236}">
              <a16:creationId xmlns:a16="http://schemas.microsoft.com/office/drawing/2014/main" id="{AD16C72E-5868-AFA4-19B7-8AD3D81FC5C5}"/>
            </a:ext>
          </a:extLst>
        </xdr:cNvPr>
        <xdr:cNvSpPr txBox="1"/>
      </xdr:nvSpPr>
      <xdr:spPr>
        <a:xfrm>
          <a:off x="9624253" y="1101234"/>
          <a:ext cx="1149848" cy="32843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85DADAA-2CF7-41C5-AD2B-CBE8AE6FD571}" type="TxLink">
            <a:rPr lang="en-US" sz="2000" b="0" i="0" u="none" strike="noStrike">
              <a:solidFill>
                <a:srgbClr val="000000"/>
              </a:solidFill>
              <a:latin typeface="Calibri"/>
              <a:ea typeface="Calibri"/>
              <a:cs typeface="Calibri"/>
            </a:rPr>
            <a:pPr/>
            <a:t>54.55%</a:t>
          </a:fld>
          <a:endParaRPr lang="en-US" sz="2000"/>
        </a:p>
      </xdr:txBody>
    </xdr:sp>
    <xdr:clientData/>
  </xdr:twoCellAnchor>
  <xdr:twoCellAnchor editAs="absolute">
    <xdr:from>
      <xdr:col>5</xdr:col>
      <xdr:colOff>364796</xdr:colOff>
      <xdr:row>4</xdr:row>
      <xdr:rowOff>121920</xdr:rowOff>
    </xdr:from>
    <xdr:to>
      <xdr:col>6</xdr:col>
      <xdr:colOff>379222</xdr:colOff>
      <xdr:row>8</xdr:row>
      <xdr:rowOff>110400</xdr:rowOff>
    </xdr:to>
    <xdr:pic>
      <xdr:nvPicPr>
        <xdr:cNvPr id="55" name="Graphic 54" descr="Piggy Bank with solid fill">
          <a:extLst>
            <a:ext uri="{FF2B5EF4-FFF2-40B4-BE49-F238E27FC236}">
              <a16:creationId xmlns:a16="http://schemas.microsoft.com/office/drawing/2014/main" id="{9EC9FEE5-2439-655C-84F0-20799A707CD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3749040" y="853440"/>
          <a:ext cx="720000" cy="720000"/>
        </a:xfrm>
        <a:prstGeom prst="rect">
          <a:avLst/>
        </a:prstGeom>
      </xdr:spPr>
    </xdr:pic>
    <xdr:clientData/>
  </xdr:twoCellAnchor>
  <xdr:twoCellAnchor editAs="absolute">
    <xdr:from>
      <xdr:col>8</xdr:col>
      <xdr:colOff>583943</xdr:colOff>
      <xdr:row>4</xdr:row>
      <xdr:rowOff>45720</xdr:rowOff>
    </xdr:from>
    <xdr:to>
      <xdr:col>10</xdr:col>
      <xdr:colOff>86672</xdr:colOff>
      <xdr:row>8</xdr:row>
      <xdr:rowOff>34200</xdr:rowOff>
    </xdr:to>
    <xdr:pic>
      <xdr:nvPicPr>
        <xdr:cNvPr id="57" name="Graphic 56" descr="Money with solid fill">
          <a:extLst>
            <a:ext uri="{FF2B5EF4-FFF2-40B4-BE49-F238E27FC236}">
              <a16:creationId xmlns:a16="http://schemas.microsoft.com/office/drawing/2014/main" id="{71AA0765-C5AE-DCFB-0B78-A85E47FBE5AF}"/>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6225540" y="777240"/>
          <a:ext cx="720000" cy="720000"/>
        </a:xfrm>
        <a:prstGeom prst="rect">
          <a:avLst/>
        </a:prstGeom>
      </xdr:spPr>
    </xdr:pic>
    <xdr:clientData/>
  </xdr:twoCellAnchor>
  <xdr:twoCellAnchor editAs="absolute">
    <xdr:from>
      <xdr:col>12</xdr:col>
      <xdr:colOff>576322</xdr:colOff>
      <xdr:row>4</xdr:row>
      <xdr:rowOff>106680</xdr:rowOff>
    </xdr:from>
    <xdr:to>
      <xdr:col>14</xdr:col>
      <xdr:colOff>79052</xdr:colOff>
      <xdr:row>8</xdr:row>
      <xdr:rowOff>95160</xdr:rowOff>
    </xdr:to>
    <xdr:pic>
      <xdr:nvPicPr>
        <xdr:cNvPr id="59" name="Graphic 58" descr="Coins with solid fill">
          <a:extLst>
            <a:ext uri="{FF2B5EF4-FFF2-40B4-BE49-F238E27FC236}">
              <a16:creationId xmlns:a16="http://schemas.microsoft.com/office/drawing/2014/main" id="{96D54EDC-EAA8-2142-AFD0-95B3EB0796A7}"/>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8656320" y="838200"/>
          <a:ext cx="720000" cy="720000"/>
        </a:xfrm>
        <a:prstGeom prst="rect">
          <a:avLst/>
        </a:prstGeom>
      </xdr:spPr>
    </xdr:pic>
    <xdr:clientData/>
  </xdr:twoCellAnchor>
  <xdr:twoCellAnchor editAs="absolute">
    <xdr:from>
      <xdr:col>2</xdr:col>
      <xdr:colOff>45720</xdr:colOff>
      <xdr:row>4</xdr:row>
      <xdr:rowOff>121920</xdr:rowOff>
    </xdr:from>
    <xdr:to>
      <xdr:col>2</xdr:col>
      <xdr:colOff>765720</xdr:colOff>
      <xdr:row>8</xdr:row>
      <xdr:rowOff>110400</xdr:rowOff>
    </xdr:to>
    <xdr:pic>
      <xdr:nvPicPr>
        <xdr:cNvPr id="61" name="Graphic 60" descr="Dollar with solid fill">
          <a:extLst>
            <a:ext uri="{FF2B5EF4-FFF2-40B4-BE49-F238E27FC236}">
              <a16:creationId xmlns:a16="http://schemas.microsoft.com/office/drawing/2014/main" id="{8BE14933-72DC-BC28-DC15-73B40477BA93}"/>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264920" y="853440"/>
          <a:ext cx="720000" cy="720000"/>
        </a:xfrm>
        <a:prstGeom prst="rect">
          <a:avLst/>
        </a:prstGeom>
      </xdr:spPr>
    </xdr:pic>
    <xdr:clientData/>
  </xdr:twoCellAnchor>
  <xdr:twoCellAnchor>
    <xdr:from>
      <xdr:col>7</xdr:col>
      <xdr:colOff>171823</xdr:colOff>
      <xdr:row>29</xdr:row>
      <xdr:rowOff>52295</xdr:rowOff>
    </xdr:from>
    <xdr:to>
      <xdr:col>17</xdr:col>
      <xdr:colOff>17626</xdr:colOff>
      <xdr:row>41</xdr:row>
      <xdr:rowOff>150668</xdr:rowOff>
    </xdr:to>
    <xdr:graphicFrame macro="">
      <xdr:nvGraphicFramePr>
        <xdr:cNvPr id="66" name="Chart 65">
          <a:extLst>
            <a:ext uri="{FF2B5EF4-FFF2-40B4-BE49-F238E27FC236}">
              <a16:creationId xmlns:a16="http://schemas.microsoft.com/office/drawing/2014/main" id="{1C210ED4-BE20-45F8-9AEB-6DC5B725D72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2</xdr:col>
      <xdr:colOff>18370</xdr:colOff>
      <xdr:row>43</xdr:row>
      <xdr:rowOff>11272</xdr:rowOff>
    </xdr:from>
    <xdr:to>
      <xdr:col>4</xdr:col>
      <xdr:colOff>247204</xdr:colOff>
      <xdr:row>50</xdr:row>
      <xdr:rowOff>177047</xdr:rowOff>
    </xdr:to>
    <xdr:sp macro="" textlink="">
      <xdr:nvSpPr>
        <xdr:cNvPr id="67" name="Rectangle 66">
          <a:extLst>
            <a:ext uri="{FF2B5EF4-FFF2-40B4-BE49-F238E27FC236}">
              <a16:creationId xmlns:a16="http://schemas.microsoft.com/office/drawing/2014/main" id="{3AD1860C-4A0D-1BCE-77DD-6CA52B632306}"/>
            </a:ext>
          </a:extLst>
        </xdr:cNvPr>
        <xdr:cNvSpPr/>
      </xdr:nvSpPr>
      <xdr:spPr>
        <a:xfrm>
          <a:off x="1237570" y="7875112"/>
          <a:ext cx="1783314" cy="1445935"/>
        </a:xfrm>
        <a:prstGeom prst="rect">
          <a:avLst/>
        </a:prstGeom>
        <a:solidFill>
          <a:schemeClr val="accent6">
            <a:lumMod val="60000"/>
            <a:lumOff val="4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editAs="absolute">
    <xdr:from>
      <xdr:col>4</xdr:col>
      <xdr:colOff>545916</xdr:colOff>
      <xdr:row>43</xdr:row>
      <xdr:rowOff>39887</xdr:rowOff>
    </xdr:from>
    <xdr:to>
      <xdr:col>7</xdr:col>
      <xdr:colOff>48950</xdr:colOff>
      <xdr:row>51</xdr:row>
      <xdr:rowOff>32327</xdr:rowOff>
    </xdr:to>
    <xdr:sp macro="" textlink="">
      <xdr:nvSpPr>
        <xdr:cNvPr id="72" name="Rectangle 71">
          <a:extLst>
            <a:ext uri="{FF2B5EF4-FFF2-40B4-BE49-F238E27FC236}">
              <a16:creationId xmlns:a16="http://schemas.microsoft.com/office/drawing/2014/main" id="{90BDF0FD-C90B-15F1-9515-7A0E94F6501A}"/>
            </a:ext>
          </a:extLst>
        </xdr:cNvPr>
        <xdr:cNvSpPr/>
      </xdr:nvSpPr>
      <xdr:spPr>
        <a:xfrm>
          <a:off x="3319596" y="7903727"/>
          <a:ext cx="1750934" cy="1455480"/>
        </a:xfrm>
        <a:prstGeom prst="rect">
          <a:avLst/>
        </a:prstGeom>
        <a:solidFill>
          <a:schemeClr val="accent6">
            <a:lumMod val="60000"/>
            <a:lumOff val="4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en-IN" sz="1100" b="1">
              <a:latin typeface="Aptos Narrow" panose="020B0004020202020204" pitchFamily="34" charset="0"/>
            </a:rPr>
            <a:t>LOWEST SPENDING</a:t>
          </a:r>
          <a:r>
            <a:rPr lang="en-IN" sz="1100" b="1" baseline="0">
              <a:latin typeface="Aptos Narrow" panose="020B0004020202020204" pitchFamily="34" charset="0"/>
            </a:rPr>
            <a:t> CATEGORY</a:t>
          </a:r>
          <a:endParaRPr lang="en-IN" sz="1100" b="1">
            <a:latin typeface="Aptos Narrow" panose="020B0004020202020204" pitchFamily="34" charset="0"/>
          </a:endParaRPr>
        </a:p>
      </xdr:txBody>
    </xdr:sp>
    <xdr:clientData/>
  </xdr:twoCellAnchor>
  <xdr:twoCellAnchor editAs="absolute">
    <xdr:from>
      <xdr:col>7</xdr:col>
      <xdr:colOff>223347</xdr:colOff>
      <xdr:row>43</xdr:row>
      <xdr:rowOff>7697</xdr:rowOff>
    </xdr:from>
    <xdr:to>
      <xdr:col>10</xdr:col>
      <xdr:colOff>167525</xdr:colOff>
      <xdr:row>50</xdr:row>
      <xdr:rowOff>169333</xdr:rowOff>
    </xdr:to>
    <xdr:sp macro="" textlink="">
      <xdr:nvSpPr>
        <xdr:cNvPr id="73" name="Rectangle 72">
          <a:extLst>
            <a:ext uri="{FF2B5EF4-FFF2-40B4-BE49-F238E27FC236}">
              <a16:creationId xmlns:a16="http://schemas.microsoft.com/office/drawing/2014/main" id="{49712AB8-9958-41EA-A6FF-1744872FCDD2}"/>
            </a:ext>
          </a:extLst>
        </xdr:cNvPr>
        <xdr:cNvSpPr/>
      </xdr:nvSpPr>
      <xdr:spPr>
        <a:xfrm>
          <a:off x="5244927" y="7871537"/>
          <a:ext cx="1772978" cy="1441796"/>
        </a:xfrm>
        <a:prstGeom prst="rect">
          <a:avLst/>
        </a:prstGeom>
        <a:solidFill>
          <a:schemeClr val="accent6">
            <a:lumMod val="60000"/>
            <a:lumOff val="4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endParaRPr lang="en-IN" sz="1100"/>
        </a:p>
      </xdr:txBody>
    </xdr:sp>
    <xdr:clientData/>
  </xdr:twoCellAnchor>
  <xdr:twoCellAnchor editAs="absolute">
    <xdr:from>
      <xdr:col>10</xdr:col>
      <xdr:colOff>376900</xdr:colOff>
      <xdr:row>42</xdr:row>
      <xdr:rowOff>175260</xdr:rowOff>
    </xdr:from>
    <xdr:to>
      <xdr:col>13</xdr:col>
      <xdr:colOff>324346</xdr:colOff>
      <xdr:row>50</xdr:row>
      <xdr:rowOff>161713</xdr:rowOff>
    </xdr:to>
    <xdr:sp macro="" textlink="">
      <xdr:nvSpPr>
        <xdr:cNvPr id="74" name="Rectangle 73">
          <a:extLst>
            <a:ext uri="{FF2B5EF4-FFF2-40B4-BE49-F238E27FC236}">
              <a16:creationId xmlns:a16="http://schemas.microsoft.com/office/drawing/2014/main" id="{4E434441-CCDD-D24C-87CB-E0A691F02251}"/>
            </a:ext>
          </a:extLst>
        </xdr:cNvPr>
        <xdr:cNvSpPr/>
      </xdr:nvSpPr>
      <xdr:spPr>
        <a:xfrm>
          <a:off x="7227280" y="7856220"/>
          <a:ext cx="1776246" cy="1449493"/>
        </a:xfrm>
        <a:prstGeom prst="rect">
          <a:avLst/>
        </a:prstGeom>
        <a:solidFill>
          <a:schemeClr val="accent6">
            <a:lumMod val="60000"/>
            <a:lumOff val="4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editAs="absolute">
    <xdr:from>
      <xdr:col>13</xdr:col>
      <xdr:colOff>599340</xdr:colOff>
      <xdr:row>42</xdr:row>
      <xdr:rowOff>161637</xdr:rowOff>
    </xdr:from>
    <xdr:to>
      <xdr:col>16</xdr:col>
      <xdr:colOff>598101</xdr:colOff>
      <xdr:row>50</xdr:row>
      <xdr:rowOff>169333</xdr:rowOff>
    </xdr:to>
    <xdr:sp macro="" textlink="">
      <xdr:nvSpPr>
        <xdr:cNvPr id="75" name="Rectangle 74">
          <a:extLst>
            <a:ext uri="{FF2B5EF4-FFF2-40B4-BE49-F238E27FC236}">
              <a16:creationId xmlns:a16="http://schemas.microsoft.com/office/drawing/2014/main" id="{A6E3F217-1FCB-15D6-4684-303CDE6559A7}"/>
            </a:ext>
          </a:extLst>
        </xdr:cNvPr>
        <xdr:cNvSpPr/>
      </xdr:nvSpPr>
      <xdr:spPr>
        <a:xfrm>
          <a:off x="9278520" y="7842597"/>
          <a:ext cx="1827561" cy="1470736"/>
        </a:xfrm>
        <a:prstGeom prst="rect">
          <a:avLst/>
        </a:prstGeom>
        <a:solidFill>
          <a:schemeClr val="accent6">
            <a:lumMod val="60000"/>
            <a:lumOff val="4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207818</xdr:colOff>
      <xdr:row>43</xdr:row>
      <xdr:rowOff>30789</xdr:rowOff>
    </xdr:from>
    <xdr:to>
      <xdr:col>4</xdr:col>
      <xdr:colOff>115455</xdr:colOff>
      <xdr:row>45</xdr:row>
      <xdr:rowOff>107759</xdr:rowOff>
    </xdr:to>
    <xdr:sp macro="" textlink="">
      <xdr:nvSpPr>
        <xdr:cNvPr id="79" name="TextBox 78">
          <a:extLst>
            <a:ext uri="{FF2B5EF4-FFF2-40B4-BE49-F238E27FC236}">
              <a16:creationId xmlns:a16="http://schemas.microsoft.com/office/drawing/2014/main" id="{21470350-D651-D7F1-7304-95C337938A6F}"/>
            </a:ext>
          </a:extLst>
        </xdr:cNvPr>
        <xdr:cNvSpPr txBox="1"/>
      </xdr:nvSpPr>
      <xdr:spPr>
        <a:xfrm>
          <a:off x="1423939" y="7974062"/>
          <a:ext cx="1385455" cy="446424"/>
        </a:xfrm>
        <a:prstGeom prst="rect">
          <a:avLst/>
        </a:prstGeom>
        <a:solidFill>
          <a:schemeClr val="accent6">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latin typeface="Aptos Narrow" panose="020B0004020202020204" pitchFamily="34" charset="0"/>
            </a:rPr>
            <a:t>HIGHEST</a:t>
          </a:r>
          <a:r>
            <a:rPr lang="en-IN" sz="1100" b="1" baseline="0">
              <a:latin typeface="Aptos Narrow" panose="020B0004020202020204" pitchFamily="34" charset="0"/>
            </a:rPr>
            <a:t> SPENDING                   CATEGORY</a:t>
          </a:r>
          <a:endParaRPr lang="en-IN" sz="1100" b="1">
            <a:latin typeface="Aptos Narrow" panose="020B0004020202020204" pitchFamily="34" charset="0"/>
          </a:endParaRPr>
        </a:p>
      </xdr:txBody>
    </xdr:sp>
    <xdr:clientData/>
  </xdr:twoCellAnchor>
  <xdr:oneCellAnchor>
    <xdr:from>
      <xdr:col>10</xdr:col>
      <xdr:colOff>525780</xdr:colOff>
      <xdr:row>43</xdr:row>
      <xdr:rowOff>107577</xdr:rowOff>
    </xdr:from>
    <xdr:ext cx="1654001" cy="392726"/>
    <xdr:sp macro="" textlink="">
      <xdr:nvSpPr>
        <xdr:cNvPr id="80" name="TextBox 79">
          <a:extLst>
            <a:ext uri="{FF2B5EF4-FFF2-40B4-BE49-F238E27FC236}">
              <a16:creationId xmlns:a16="http://schemas.microsoft.com/office/drawing/2014/main" id="{58A69D3F-7FA1-3D12-4F9C-97A5EB45DE78}"/>
            </a:ext>
          </a:extLst>
        </xdr:cNvPr>
        <xdr:cNvSpPr txBox="1"/>
      </xdr:nvSpPr>
      <xdr:spPr>
        <a:xfrm>
          <a:off x="7159662" y="7817224"/>
          <a:ext cx="1654001" cy="3927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IN" sz="1100">
              <a:latin typeface="Aptos Narrow" panose="020B0004020202020204" pitchFamily="34" charset="0"/>
            </a:rPr>
            <a:t>     </a:t>
          </a:r>
          <a:r>
            <a:rPr lang="en-IN" sz="1100" b="1">
              <a:latin typeface="Aptos Narrow" panose="020B0004020202020204" pitchFamily="34" charset="0"/>
            </a:rPr>
            <a:t>AVERAGE </a:t>
          </a:r>
          <a:r>
            <a:rPr lang="en-IN" sz="1100" b="1" baseline="0">
              <a:latin typeface="Aptos Narrow" panose="020B0004020202020204" pitchFamily="34" charset="0"/>
            </a:rPr>
            <a:t>EXPENSES</a:t>
          </a:r>
          <a:endParaRPr lang="en-IN" sz="1100" b="1">
            <a:latin typeface="Aptos Narrow" panose="020B0004020202020204" pitchFamily="34" charset="0"/>
          </a:endParaRPr>
        </a:p>
      </xdr:txBody>
    </xdr:sp>
    <xdr:clientData/>
  </xdr:oneCellAnchor>
  <xdr:oneCellAnchor>
    <xdr:from>
      <xdr:col>14</xdr:col>
      <xdr:colOff>100061</xdr:colOff>
      <xdr:row>43</xdr:row>
      <xdr:rowOff>92363</xdr:rowOff>
    </xdr:from>
    <xdr:ext cx="1616365" cy="1480682"/>
    <xdr:sp macro="" textlink="">
      <xdr:nvSpPr>
        <xdr:cNvPr id="81" name="TextBox 80">
          <a:extLst>
            <a:ext uri="{FF2B5EF4-FFF2-40B4-BE49-F238E27FC236}">
              <a16:creationId xmlns:a16="http://schemas.microsoft.com/office/drawing/2014/main" id="{F61B98DE-9C83-63E3-5DE9-1756AC7BB686}"/>
            </a:ext>
          </a:extLst>
        </xdr:cNvPr>
        <xdr:cNvSpPr txBox="1"/>
      </xdr:nvSpPr>
      <xdr:spPr>
        <a:xfrm>
          <a:off x="9120909" y="8035636"/>
          <a:ext cx="1616365" cy="14806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IN" sz="1100" b="1">
              <a:latin typeface="Aptos Narrow" panose="020B0004020202020204" pitchFamily="34" charset="0"/>
            </a:rPr>
            <a:t>LARGEST SINGLE EXPENSE</a:t>
          </a:r>
        </a:p>
      </xdr:txBody>
    </xdr:sp>
    <xdr:clientData/>
  </xdr:oneCellAnchor>
  <xdr:oneCellAnchor>
    <xdr:from>
      <xdr:col>7</xdr:col>
      <xdr:colOff>507999</xdr:colOff>
      <xdr:row>43</xdr:row>
      <xdr:rowOff>107758</xdr:rowOff>
    </xdr:from>
    <xdr:ext cx="1447032" cy="300182"/>
    <xdr:sp macro="" textlink="">
      <xdr:nvSpPr>
        <xdr:cNvPr id="82" name="TextBox 81">
          <a:extLst>
            <a:ext uri="{FF2B5EF4-FFF2-40B4-BE49-F238E27FC236}">
              <a16:creationId xmlns:a16="http://schemas.microsoft.com/office/drawing/2014/main" id="{B964044B-C8A5-50BD-68F3-3DF592AE8997}"/>
            </a:ext>
          </a:extLst>
        </xdr:cNvPr>
        <xdr:cNvSpPr txBox="1"/>
      </xdr:nvSpPr>
      <xdr:spPr>
        <a:xfrm>
          <a:off x="5272423" y="8051031"/>
          <a:ext cx="1447032" cy="300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IN" sz="1100" b="1">
              <a:latin typeface="Aptos Narrow" panose="020B0004020202020204" pitchFamily="34" charset="0"/>
            </a:rPr>
            <a:t>TOTAL TRANSACTIONS</a:t>
          </a:r>
        </a:p>
      </xdr:txBody>
    </xdr:sp>
    <xdr:clientData/>
  </xdr:oneCellAnchor>
  <xdr:oneCellAnchor>
    <xdr:from>
      <xdr:col>3</xdr:col>
      <xdr:colOff>0</xdr:colOff>
      <xdr:row>51</xdr:row>
      <xdr:rowOff>92364</xdr:rowOff>
    </xdr:from>
    <xdr:ext cx="184731" cy="264560"/>
    <xdr:sp macro="" textlink="">
      <xdr:nvSpPr>
        <xdr:cNvPr id="83" name="TextBox 82">
          <a:extLst>
            <a:ext uri="{FF2B5EF4-FFF2-40B4-BE49-F238E27FC236}">
              <a16:creationId xmlns:a16="http://schemas.microsoft.com/office/drawing/2014/main" id="{58C9AFA2-7CFF-0274-1B32-9CB989FAB5FE}"/>
            </a:ext>
          </a:extLst>
        </xdr:cNvPr>
        <xdr:cNvSpPr txBox="1"/>
      </xdr:nvSpPr>
      <xdr:spPr>
        <a:xfrm>
          <a:off x="2085879" y="951345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oneCellAnchor>
    <xdr:from>
      <xdr:col>8</xdr:col>
      <xdr:colOff>312420</xdr:colOff>
      <xdr:row>50</xdr:row>
      <xdr:rowOff>137160</xdr:rowOff>
    </xdr:from>
    <xdr:ext cx="184731" cy="264560"/>
    <xdr:sp macro="" textlink="">
      <xdr:nvSpPr>
        <xdr:cNvPr id="86" name="TextBox 85">
          <a:extLst>
            <a:ext uri="{FF2B5EF4-FFF2-40B4-BE49-F238E27FC236}">
              <a16:creationId xmlns:a16="http://schemas.microsoft.com/office/drawing/2014/main" id="{FEF62610-04F4-5E8B-407A-2BB113A77C06}"/>
            </a:ext>
          </a:extLst>
        </xdr:cNvPr>
        <xdr:cNvSpPr txBox="1"/>
      </xdr:nvSpPr>
      <xdr:spPr>
        <a:xfrm>
          <a:off x="5692140" y="928116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oneCellAnchor>
    <xdr:from>
      <xdr:col>17</xdr:col>
      <xdr:colOff>586154</xdr:colOff>
      <xdr:row>0</xdr:row>
      <xdr:rowOff>21982</xdr:rowOff>
    </xdr:from>
    <xdr:ext cx="637441" cy="256442"/>
    <xdr:sp macro="" textlink="">
      <xdr:nvSpPr>
        <xdr:cNvPr id="7" name="TextBox 6">
          <a:extLst>
            <a:ext uri="{FF2B5EF4-FFF2-40B4-BE49-F238E27FC236}">
              <a16:creationId xmlns:a16="http://schemas.microsoft.com/office/drawing/2014/main" id="{293D2CE1-8561-DCF7-A363-82CF4D1929E1}"/>
            </a:ext>
          </a:extLst>
        </xdr:cNvPr>
        <xdr:cNvSpPr txBox="1"/>
      </xdr:nvSpPr>
      <xdr:spPr>
        <a:xfrm>
          <a:off x="11430000" y="21982"/>
          <a:ext cx="637441" cy="2564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endParaRPr lang="en-IN" sz="1100" b="1"/>
        </a:p>
      </xdr:txBody>
    </xdr:sp>
    <xdr:clientData/>
  </xdr:oneCellAnchor>
  <xdr:twoCellAnchor editAs="oneCell">
    <xdr:from>
      <xdr:col>29</xdr:col>
      <xdr:colOff>611004</xdr:colOff>
      <xdr:row>3</xdr:row>
      <xdr:rowOff>104487</xdr:rowOff>
    </xdr:from>
    <xdr:to>
      <xdr:col>31</xdr:col>
      <xdr:colOff>437218</xdr:colOff>
      <xdr:row>8</xdr:row>
      <xdr:rowOff>50852</xdr:rowOff>
    </xdr:to>
    <mc:AlternateContent xmlns:mc="http://schemas.openxmlformats.org/markup-compatibility/2006" xmlns:a14="http://schemas.microsoft.com/office/drawing/2010/main">
      <mc:Choice Requires="a14">
        <xdr:graphicFrame macro="">
          <xdr:nvGraphicFramePr>
            <xdr:cNvPr id="10" name="Month 3">
              <a:extLst>
                <a:ext uri="{FF2B5EF4-FFF2-40B4-BE49-F238E27FC236}">
                  <a16:creationId xmlns:a16="http://schemas.microsoft.com/office/drawing/2014/main" id="{B7571FFB-5B92-4EAF-B952-538B0E6381FA}"/>
                </a:ext>
              </a:extLst>
            </xdr:cNvPr>
            <xdr:cNvGraphicFramePr/>
          </xdr:nvGraphicFramePr>
          <xdr:xfrm>
            <a:off x="0" y="0"/>
            <a:ext cx="0" cy="0"/>
          </xdr:xfrm>
          <a:graphic>
            <a:graphicData uri="http://schemas.microsoft.com/office/drawing/2010/slicer">
              <sle:slicer xmlns:sle="http://schemas.microsoft.com/office/drawing/2010/slicer" name="Month 3"/>
            </a:graphicData>
          </a:graphic>
        </xdr:graphicFrame>
      </mc:Choice>
      <mc:Fallback xmlns="">
        <xdr:sp macro="" textlink="">
          <xdr:nvSpPr>
            <xdr:cNvPr id="0" name=""/>
            <xdr:cNvSpPr>
              <a:spLocks noTextEdit="1"/>
            </xdr:cNvSpPr>
          </xdr:nvSpPr>
          <xdr:spPr>
            <a:xfrm>
              <a:off x="19006678" y="651139"/>
              <a:ext cx="1358498" cy="85745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157530</xdr:colOff>
      <xdr:row>9</xdr:row>
      <xdr:rowOff>79130</xdr:rowOff>
    </xdr:from>
    <xdr:to>
      <xdr:col>15</xdr:col>
      <xdr:colOff>91440</xdr:colOff>
      <xdr:row>28</xdr:row>
      <xdr:rowOff>95250</xdr:rowOff>
    </xdr:to>
    <xdr:graphicFrame macro="">
      <xdr:nvGraphicFramePr>
        <xdr:cNvPr id="11" name="Chart 10">
          <a:extLst>
            <a:ext uri="{FF2B5EF4-FFF2-40B4-BE49-F238E27FC236}">
              <a16:creationId xmlns:a16="http://schemas.microsoft.com/office/drawing/2014/main" id="{01D44CA0-7AB5-BC28-3D1A-D1A6EE4E2A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556845</xdr:colOff>
      <xdr:row>22</xdr:row>
      <xdr:rowOff>153863</xdr:rowOff>
    </xdr:from>
    <xdr:to>
      <xdr:col>7</xdr:col>
      <xdr:colOff>29307</xdr:colOff>
      <xdr:row>41</xdr:row>
      <xdr:rowOff>112058</xdr:rowOff>
    </xdr:to>
    <xdr:graphicFrame macro="">
      <xdr:nvGraphicFramePr>
        <xdr:cNvPr id="12" name="Chart 11">
          <a:extLst>
            <a:ext uri="{FF2B5EF4-FFF2-40B4-BE49-F238E27FC236}">
              <a16:creationId xmlns:a16="http://schemas.microsoft.com/office/drawing/2014/main" id="{E2800A66-FA1B-40BC-98F1-7CF7541729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xdr:col>
      <xdr:colOff>63703</xdr:colOff>
      <xdr:row>46</xdr:row>
      <xdr:rowOff>47513</xdr:rowOff>
    </xdr:from>
    <xdr:to>
      <xdr:col>4</xdr:col>
      <xdr:colOff>129540</xdr:colOff>
      <xdr:row>49</xdr:row>
      <xdr:rowOff>175260</xdr:rowOff>
    </xdr:to>
    <xdr:sp macro="" textlink="">
      <xdr:nvSpPr>
        <xdr:cNvPr id="15" name="Oval 14">
          <a:extLst>
            <a:ext uri="{FF2B5EF4-FFF2-40B4-BE49-F238E27FC236}">
              <a16:creationId xmlns:a16="http://schemas.microsoft.com/office/drawing/2014/main" id="{EE928E0E-E327-71BB-5A77-0212C1FA2CDD}"/>
            </a:ext>
          </a:extLst>
        </xdr:cNvPr>
        <xdr:cNvSpPr/>
      </xdr:nvSpPr>
      <xdr:spPr>
        <a:xfrm>
          <a:off x="1282903" y="8459993"/>
          <a:ext cx="1620317" cy="676387"/>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oneCellAnchor>
    <xdr:from>
      <xdr:col>2</xdr:col>
      <xdr:colOff>260643</xdr:colOff>
      <xdr:row>46</xdr:row>
      <xdr:rowOff>151539</xdr:rowOff>
    </xdr:from>
    <xdr:ext cx="1508605" cy="400243"/>
    <xdr:sp macro="" textlink="'KPI cards'!B10">
      <xdr:nvSpPr>
        <xdr:cNvPr id="84" name="TextBox 83">
          <a:extLst>
            <a:ext uri="{FF2B5EF4-FFF2-40B4-BE49-F238E27FC236}">
              <a16:creationId xmlns:a16="http://schemas.microsoft.com/office/drawing/2014/main" id="{FC5DF39D-6E7F-C5C4-1340-D49E5B950237}"/>
            </a:ext>
          </a:extLst>
        </xdr:cNvPr>
        <xdr:cNvSpPr txBox="1"/>
      </xdr:nvSpPr>
      <xdr:spPr>
        <a:xfrm>
          <a:off x="1479843" y="8564019"/>
          <a:ext cx="1508605" cy="4002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fld id="{B1039724-55A9-4692-B265-D64A559C6C2A}" type="TxLink">
            <a:rPr lang="en-US" sz="2000" b="0" i="0" u="none" strike="noStrike">
              <a:solidFill>
                <a:schemeClr val="bg1"/>
              </a:solidFill>
              <a:latin typeface="Calibri"/>
              <a:ea typeface="Calibri"/>
              <a:cs typeface="Calibri"/>
            </a:rPr>
            <a:pPr/>
            <a:t>Shopping</a:t>
          </a:fld>
          <a:endParaRPr lang="en-IN" sz="2000">
            <a:solidFill>
              <a:schemeClr val="bg1"/>
            </a:solidFill>
          </a:endParaRPr>
        </a:p>
      </xdr:txBody>
    </xdr:sp>
    <xdr:clientData/>
  </xdr:oneCellAnchor>
  <xdr:twoCellAnchor>
    <xdr:from>
      <xdr:col>4</xdr:col>
      <xdr:colOff>571500</xdr:colOff>
      <xdr:row>46</xdr:row>
      <xdr:rowOff>39417</xdr:rowOff>
    </xdr:from>
    <xdr:to>
      <xdr:col>7</xdr:col>
      <xdr:colOff>1317</xdr:colOff>
      <xdr:row>49</xdr:row>
      <xdr:rowOff>144780</xdr:rowOff>
    </xdr:to>
    <xdr:sp macro="" textlink="">
      <xdr:nvSpPr>
        <xdr:cNvPr id="18" name="Oval 17">
          <a:extLst>
            <a:ext uri="{FF2B5EF4-FFF2-40B4-BE49-F238E27FC236}">
              <a16:creationId xmlns:a16="http://schemas.microsoft.com/office/drawing/2014/main" id="{8EA46CD8-6BB6-D5CF-F6D5-701292AD051F}"/>
            </a:ext>
          </a:extLst>
        </xdr:cNvPr>
        <xdr:cNvSpPr/>
      </xdr:nvSpPr>
      <xdr:spPr>
        <a:xfrm>
          <a:off x="3345180" y="8451897"/>
          <a:ext cx="1677717" cy="654003"/>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oneCellAnchor>
    <xdr:from>
      <xdr:col>4</xdr:col>
      <xdr:colOff>574630</xdr:colOff>
      <xdr:row>46</xdr:row>
      <xdr:rowOff>154248</xdr:rowOff>
    </xdr:from>
    <xdr:ext cx="1680890" cy="431031"/>
    <xdr:sp macro="" textlink="'KPI cards'!B11">
      <xdr:nvSpPr>
        <xdr:cNvPr id="85" name="TextBox 84">
          <a:extLst>
            <a:ext uri="{FF2B5EF4-FFF2-40B4-BE49-F238E27FC236}">
              <a16:creationId xmlns:a16="http://schemas.microsoft.com/office/drawing/2014/main" id="{DB07BC3A-D1E5-5AA2-0352-C79B72C23728}"/>
            </a:ext>
          </a:extLst>
        </xdr:cNvPr>
        <xdr:cNvSpPr txBox="1"/>
      </xdr:nvSpPr>
      <xdr:spPr>
        <a:xfrm>
          <a:off x="3348310" y="8566728"/>
          <a:ext cx="1680890" cy="4310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0D79C575-127A-4F5B-93E6-22D5A42C0791}" type="TxLink">
            <a:rPr lang="en-US" sz="1800" b="0" i="0" u="none" strike="noStrike">
              <a:solidFill>
                <a:schemeClr val="bg1"/>
              </a:solidFill>
              <a:latin typeface="Calibri"/>
              <a:ea typeface="Calibri"/>
              <a:cs typeface="Calibri"/>
            </a:rPr>
            <a:pPr algn="ctr"/>
            <a:t>Entertainment</a:t>
          </a:fld>
          <a:endParaRPr lang="en-IN" sz="1800">
            <a:solidFill>
              <a:schemeClr val="bg1"/>
            </a:solidFill>
          </a:endParaRPr>
        </a:p>
      </xdr:txBody>
    </xdr:sp>
    <xdr:clientData/>
  </xdr:oneCellAnchor>
  <xdr:twoCellAnchor>
    <xdr:from>
      <xdr:col>7</xdr:col>
      <xdr:colOff>583260</xdr:colOff>
      <xdr:row>46</xdr:row>
      <xdr:rowOff>84667</xdr:rowOff>
    </xdr:from>
    <xdr:to>
      <xdr:col>9</xdr:col>
      <xdr:colOff>592667</xdr:colOff>
      <xdr:row>49</xdr:row>
      <xdr:rowOff>131704</xdr:rowOff>
    </xdr:to>
    <xdr:sp macro="" textlink="">
      <xdr:nvSpPr>
        <xdr:cNvPr id="19" name="Oval 18">
          <a:extLst>
            <a:ext uri="{FF2B5EF4-FFF2-40B4-BE49-F238E27FC236}">
              <a16:creationId xmlns:a16="http://schemas.microsoft.com/office/drawing/2014/main" id="{4698C289-ADAF-D745-75AC-33FD395221B8}"/>
            </a:ext>
          </a:extLst>
        </xdr:cNvPr>
        <xdr:cNvSpPr/>
      </xdr:nvSpPr>
      <xdr:spPr>
        <a:xfrm>
          <a:off x="5399853" y="8306741"/>
          <a:ext cx="1232370" cy="583259"/>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324085</xdr:colOff>
      <xdr:row>47</xdr:row>
      <xdr:rowOff>10346</xdr:rowOff>
    </xdr:from>
    <xdr:to>
      <xdr:col>9</xdr:col>
      <xdr:colOff>430765</xdr:colOff>
      <xdr:row>49</xdr:row>
      <xdr:rowOff>17967</xdr:rowOff>
    </xdr:to>
    <xdr:sp macro="" textlink="Transactions!R8">
      <xdr:nvSpPr>
        <xdr:cNvPr id="2" name="TextBox 1">
          <a:extLst>
            <a:ext uri="{FF2B5EF4-FFF2-40B4-BE49-F238E27FC236}">
              <a16:creationId xmlns:a16="http://schemas.microsoft.com/office/drawing/2014/main" id="{3A1B0581-9932-7C4F-83CF-2E47957DD4E3}"/>
            </a:ext>
          </a:extLst>
        </xdr:cNvPr>
        <xdr:cNvSpPr txBox="1"/>
      </xdr:nvSpPr>
      <xdr:spPr>
        <a:xfrm>
          <a:off x="5752159" y="8411161"/>
          <a:ext cx="718162" cy="365102"/>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t"/>
        <a:lstStyle/>
        <a:p>
          <a:fld id="{62849E4D-02FD-4517-9285-9C2EA8813883}" type="TxLink">
            <a:rPr lang="en-US" sz="2000" b="0" i="0" u="none" strike="noStrike">
              <a:solidFill>
                <a:schemeClr val="bg1"/>
              </a:solidFill>
              <a:latin typeface="Calibri"/>
              <a:ea typeface="Calibri"/>
              <a:cs typeface="Calibri"/>
            </a:rPr>
            <a:pPr/>
            <a:t>0</a:t>
          </a:fld>
          <a:endParaRPr lang="en-US" sz="2000">
            <a:solidFill>
              <a:schemeClr val="bg1"/>
            </a:solidFill>
          </a:endParaRPr>
        </a:p>
      </xdr:txBody>
    </xdr:sp>
    <xdr:clientData/>
  </xdr:twoCellAnchor>
  <xdr:twoCellAnchor>
    <xdr:from>
      <xdr:col>10</xdr:col>
      <xdr:colOff>526816</xdr:colOff>
      <xdr:row>46</xdr:row>
      <xdr:rowOff>75261</xdr:rowOff>
    </xdr:from>
    <xdr:to>
      <xdr:col>13</xdr:col>
      <xdr:colOff>188149</xdr:colOff>
      <xdr:row>49</xdr:row>
      <xdr:rowOff>150519</xdr:rowOff>
    </xdr:to>
    <xdr:sp macro="" textlink="">
      <xdr:nvSpPr>
        <xdr:cNvPr id="20" name="Oval 19">
          <a:extLst>
            <a:ext uri="{FF2B5EF4-FFF2-40B4-BE49-F238E27FC236}">
              <a16:creationId xmlns:a16="http://schemas.microsoft.com/office/drawing/2014/main" id="{5F56DA48-1FDB-E027-34A7-D5025989C517}"/>
            </a:ext>
          </a:extLst>
        </xdr:cNvPr>
        <xdr:cNvSpPr/>
      </xdr:nvSpPr>
      <xdr:spPr>
        <a:xfrm>
          <a:off x="7177853" y="8297335"/>
          <a:ext cx="1495777" cy="61148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167639</xdr:colOff>
      <xdr:row>46</xdr:row>
      <xdr:rowOff>160021</xdr:rowOff>
    </xdr:from>
    <xdr:to>
      <xdr:col>12</xdr:col>
      <xdr:colOff>609599</xdr:colOff>
      <xdr:row>49</xdr:row>
      <xdr:rowOff>30480</xdr:rowOff>
    </xdr:to>
    <xdr:sp macro="" textlink="Transactions!Q15">
      <xdr:nvSpPr>
        <xdr:cNvPr id="5" name="TextBox 4">
          <a:extLst>
            <a:ext uri="{FF2B5EF4-FFF2-40B4-BE49-F238E27FC236}">
              <a16:creationId xmlns:a16="http://schemas.microsoft.com/office/drawing/2014/main" id="{234AF479-F4A2-77EE-7C47-6D9F34F26E6E}"/>
            </a:ext>
          </a:extLst>
        </xdr:cNvPr>
        <xdr:cNvSpPr txBox="1"/>
      </xdr:nvSpPr>
      <xdr:spPr>
        <a:xfrm flipH="1">
          <a:off x="7414259" y="8572501"/>
          <a:ext cx="1051560" cy="419099"/>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t"/>
        <a:lstStyle/>
        <a:p>
          <a:fld id="{0B7FBCD0-63A1-41CE-BF60-3FBBC2CC6086}" type="TxLink">
            <a:rPr lang="en-US" sz="1800" b="0" i="0" u="none" strike="noStrike">
              <a:solidFill>
                <a:schemeClr val="bg1"/>
              </a:solidFill>
              <a:latin typeface="Calibri"/>
              <a:ea typeface="Calibri"/>
              <a:cs typeface="Calibri"/>
            </a:rPr>
            <a:pPr/>
            <a:t>₹ 944.79</a:t>
          </a:fld>
          <a:endParaRPr lang="en-IN" sz="1800">
            <a:solidFill>
              <a:schemeClr val="bg1"/>
            </a:solidFill>
          </a:endParaRPr>
        </a:p>
      </xdr:txBody>
    </xdr:sp>
    <xdr:clientData/>
  </xdr:twoCellAnchor>
  <xdr:twoCellAnchor>
    <xdr:from>
      <xdr:col>14</xdr:col>
      <xdr:colOff>198752</xdr:colOff>
      <xdr:row>46</xdr:row>
      <xdr:rowOff>50373</xdr:rowOff>
    </xdr:from>
    <xdr:to>
      <xdr:col>16</xdr:col>
      <xdr:colOff>377492</xdr:colOff>
      <xdr:row>49</xdr:row>
      <xdr:rowOff>97410</xdr:rowOff>
    </xdr:to>
    <xdr:sp macro="" textlink="">
      <xdr:nvSpPr>
        <xdr:cNvPr id="21" name="Oval 20">
          <a:extLst>
            <a:ext uri="{FF2B5EF4-FFF2-40B4-BE49-F238E27FC236}">
              <a16:creationId xmlns:a16="http://schemas.microsoft.com/office/drawing/2014/main" id="{9AF7C786-6F07-3509-92F9-E4AD449B1F11}"/>
            </a:ext>
          </a:extLst>
        </xdr:cNvPr>
        <xdr:cNvSpPr/>
      </xdr:nvSpPr>
      <xdr:spPr>
        <a:xfrm>
          <a:off x="9246296" y="8480601"/>
          <a:ext cx="1394082" cy="596834"/>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368268</xdr:colOff>
      <xdr:row>46</xdr:row>
      <xdr:rowOff>170049</xdr:rowOff>
    </xdr:from>
    <xdr:to>
      <xdr:col>16</xdr:col>
      <xdr:colOff>190656</xdr:colOff>
      <xdr:row>48</xdr:row>
      <xdr:rowOff>139569</xdr:rowOff>
    </xdr:to>
    <xdr:sp macro="" textlink="Transactions!L22">
      <xdr:nvSpPr>
        <xdr:cNvPr id="6" name="TextBox 5">
          <a:extLst>
            <a:ext uri="{FF2B5EF4-FFF2-40B4-BE49-F238E27FC236}">
              <a16:creationId xmlns:a16="http://schemas.microsoft.com/office/drawing/2014/main" id="{86213C5F-155F-C7F3-3B82-16539F65AB25}"/>
            </a:ext>
          </a:extLst>
        </xdr:cNvPr>
        <xdr:cNvSpPr txBox="1"/>
      </xdr:nvSpPr>
      <xdr:spPr>
        <a:xfrm>
          <a:off x="9415812" y="8600277"/>
          <a:ext cx="1037730" cy="336051"/>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t"/>
        <a:lstStyle/>
        <a:p>
          <a:fld id="{32628323-AE48-4795-9A31-5CC98AA65678}" type="TxLink">
            <a:rPr lang="en-US" sz="2000" b="0" i="0" u="none" strike="noStrike">
              <a:solidFill>
                <a:schemeClr val="bg1"/>
              </a:solidFill>
              <a:latin typeface="Calibri"/>
              <a:ea typeface="Calibri"/>
              <a:cs typeface="Calibri"/>
            </a:rPr>
            <a:pPr/>
            <a:t>₹ 3,000</a:t>
          </a:fld>
          <a:endParaRPr lang="en-US" sz="2000">
            <a:solidFill>
              <a:schemeClr val="bg1"/>
            </a:solidFill>
          </a:endParaRPr>
        </a:p>
      </xdr:txBody>
    </xdr:sp>
    <xdr:clientData/>
  </xdr:twoCellAnchor>
  <xdr:twoCellAnchor editAs="oneCell">
    <xdr:from>
      <xdr:col>15</xdr:col>
      <xdr:colOff>144780</xdr:colOff>
      <xdr:row>9</xdr:row>
      <xdr:rowOff>91440</xdr:rowOff>
    </xdr:from>
    <xdr:to>
      <xdr:col>16</xdr:col>
      <xdr:colOff>594360</xdr:colOff>
      <xdr:row>16</xdr:row>
      <xdr:rowOff>30480</xdr:rowOff>
    </xdr:to>
    <mc:AlternateContent xmlns:mc="http://schemas.openxmlformats.org/markup-compatibility/2006">
      <mc:Choice xmlns:a14="http://schemas.microsoft.com/office/drawing/2010/main" Requires="a14">
        <xdr:graphicFrame macro="">
          <xdr:nvGraphicFramePr>
            <xdr:cNvPr id="8" name="Month 5">
              <a:extLst>
                <a:ext uri="{FF2B5EF4-FFF2-40B4-BE49-F238E27FC236}">
                  <a16:creationId xmlns:a16="http://schemas.microsoft.com/office/drawing/2014/main" id="{FB9E4C0B-E206-4259-85F0-3F758936386D}"/>
                </a:ext>
              </a:extLst>
            </xdr:cNvPr>
            <xdr:cNvGraphicFramePr/>
          </xdr:nvGraphicFramePr>
          <xdr:xfrm>
            <a:off x="0" y="0"/>
            <a:ext cx="0" cy="0"/>
          </xdr:xfrm>
          <a:graphic>
            <a:graphicData uri="http://schemas.microsoft.com/office/drawing/2010/slicer">
              <sle:slicer xmlns:sle="http://schemas.microsoft.com/office/drawing/2010/slicer" name="Month 5"/>
            </a:graphicData>
          </a:graphic>
        </xdr:graphicFrame>
      </mc:Choice>
      <mc:Fallback>
        <xdr:sp macro="" textlink="">
          <xdr:nvSpPr>
            <xdr:cNvPr id="0" name=""/>
            <xdr:cNvSpPr>
              <a:spLocks noTextEdit="1"/>
            </xdr:cNvSpPr>
          </xdr:nvSpPr>
          <xdr:spPr>
            <a:xfrm>
              <a:off x="10073192" y="1705087"/>
              <a:ext cx="1062168" cy="11940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152400</xdr:colOff>
      <xdr:row>19</xdr:row>
      <xdr:rowOff>114300</xdr:rowOff>
    </xdr:from>
    <xdr:to>
      <xdr:col>17</xdr:col>
      <xdr:colOff>22860</xdr:colOff>
      <xdr:row>26</xdr:row>
      <xdr:rowOff>7620</xdr:rowOff>
    </xdr:to>
    <mc:AlternateContent xmlns:mc="http://schemas.openxmlformats.org/markup-compatibility/2006">
      <mc:Choice xmlns:a14="http://schemas.microsoft.com/office/drawing/2010/main" Requires="a14">
        <xdr:graphicFrame macro="">
          <xdr:nvGraphicFramePr>
            <xdr:cNvPr id="13" name="Month 1">
              <a:extLst>
                <a:ext uri="{FF2B5EF4-FFF2-40B4-BE49-F238E27FC236}">
                  <a16:creationId xmlns:a16="http://schemas.microsoft.com/office/drawing/2014/main" id="{D581B99C-7B1C-4436-96CB-5391F652C20C}"/>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dr:sp macro="" textlink="">
          <xdr:nvSpPr>
            <xdr:cNvPr id="0" name=""/>
            <xdr:cNvSpPr>
              <a:spLocks noTextEdit="1"/>
            </xdr:cNvSpPr>
          </xdr:nvSpPr>
          <xdr:spPr>
            <a:xfrm>
              <a:off x="10080812" y="3520888"/>
              <a:ext cx="1095636" cy="11483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15</xdr:col>
      <xdr:colOff>137160</xdr:colOff>
      <xdr:row>26</xdr:row>
      <xdr:rowOff>91440</xdr:rowOff>
    </xdr:from>
    <xdr:to>
      <xdr:col>17</xdr:col>
      <xdr:colOff>15240</xdr:colOff>
      <xdr:row>28</xdr:row>
      <xdr:rowOff>7620</xdr:rowOff>
    </xdr:to>
    <xdr:sp macro="" textlink="">
      <xdr:nvSpPr>
        <xdr:cNvPr id="16" name="TextBox 15">
          <a:extLst>
            <a:ext uri="{FF2B5EF4-FFF2-40B4-BE49-F238E27FC236}">
              <a16:creationId xmlns:a16="http://schemas.microsoft.com/office/drawing/2014/main" id="{B726AAE1-E27A-25ED-597D-3450BF0A132A}"/>
            </a:ext>
          </a:extLst>
        </xdr:cNvPr>
        <xdr:cNvSpPr txBox="1"/>
      </xdr:nvSpPr>
      <xdr:spPr>
        <a:xfrm>
          <a:off x="10035540" y="4846320"/>
          <a:ext cx="1097280" cy="281940"/>
        </a:xfrm>
        <a:prstGeom prst="rect">
          <a:avLst/>
        </a:prstGeom>
        <a:solidFill>
          <a:schemeClr val="accent6">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  Budget</a:t>
          </a:r>
          <a:r>
            <a:rPr lang="en-IN" sz="1100" baseline="0"/>
            <a:t> Filter</a:t>
          </a:r>
          <a:endParaRPr lang="en-IN" sz="1100"/>
        </a:p>
      </xdr:txBody>
    </xdr:sp>
    <xdr:clientData/>
  </xdr:twoCellAnchor>
  <xdr:twoCellAnchor>
    <xdr:from>
      <xdr:col>15</xdr:col>
      <xdr:colOff>137160</xdr:colOff>
      <xdr:row>16</xdr:row>
      <xdr:rowOff>76200</xdr:rowOff>
    </xdr:from>
    <xdr:to>
      <xdr:col>17</xdr:col>
      <xdr:colOff>0</xdr:colOff>
      <xdr:row>18</xdr:row>
      <xdr:rowOff>167640</xdr:rowOff>
    </xdr:to>
    <xdr:sp macro="" textlink="">
      <xdr:nvSpPr>
        <xdr:cNvPr id="17" name="TextBox 16">
          <a:extLst>
            <a:ext uri="{FF2B5EF4-FFF2-40B4-BE49-F238E27FC236}">
              <a16:creationId xmlns:a16="http://schemas.microsoft.com/office/drawing/2014/main" id="{7C411229-8253-531A-BDD7-A0D82F8E682D}"/>
            </a:ext>
          </a:extLst>
        </xdr:cNvPr>
        <xdr:cNvSpPr txBox="1"/>
      </xdr:nvSpPr>
      <xdr:spPr>
        <a:xfrm>
          <a:off x="10035540" y="3002280"/>
          <a:ext cx="1082040" cy="457200"/>
        </a:xfrm>
        <a:prstGeom prst="rect">
          <a:avLst/>
        </a:prstGeom>
        <a:solidFill>
          <a:schemeClr val="accent6">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t>Dashboard Filter</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onishka V" refreshedDate="46166.593744791666" createdVersion="8" refreshedVersion="8" minRefreshableVersion="3" recordCount="52" xr:uid="{BE941829-5E14-464E-BF62-C12C75DA8DE7}">
  <cacheSource type="worksheet">
    <worksheetSource ref="B1:G53" sheet="Transactions"/>
  </cacheSource>
  <cacheFields count="6">
    <cacheField name="Date" numFmtId="14">
      <sharedItems containsNonDate="0" containsDate="1" containsString="0" containsBlank="1" minDate="2026-01-01T00:00:00" maxDate="2026-02-21T00:00:00"/>
    </cacheField>
    <cacheField name="Category" numFmtId="0">
      <sharedItems containsBlank="1" count="11">
        <s v="Salary"/>
        <s v="Food"/>
        <s v="Transport"/>
        <s v="Utilities"/>
        <s v="Entertainment"/>
        <s v="Shopping"/>
        <s v="Medical"/>
        <s v="Education"/>
        <s v="Freelance"/>
        <s v="Travel"/>
        <m/>
      </sharedItems>
    </cacheField>
    <cacheField name="Description" numFmtId="0">
      <sharedItems containsBlank="1"/>
    </cacheField>
    <cacheField name="Type" numFmtId="0">
      <sharedItems containsBlank="1" count="3">
        <s v="Income"/>
        <s v="Expense"/>
        <m/>
      </sharedItems>
    </cacheField>
    <cacheField name="Amount" numFmtId="164">
      <sharedItems containsString="0" containsBlank="1" containsNumber="1" containsInteger="1" minValue="30" maxValue="35000"/>
    </cacheField>
    <cacheField name="Month" numFmtId="0">
      <sharedItems containsBlank="1" count="3">
        <s v="Jan"/>
        <s v="Feb"/>
        <m/>
      </sharedItems>
    </cacheField>
  </cacheFields>
  <extLst>
    <ext xmlns:x14="http://schemas.microsoft.com/office/spreadsheetml/2009/9/main" uri="{725AE2AE-9491-48be-B2B4-4EB974FC3084}">
      <x14:pivotCacheDefinition pivotCacheId="141161159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onishka V" refreshedDate="46166.593748032406" createdVersion="8" refreshedVersion="8" minRefreshableVersion="3" recordCount="52" xr:uid="{C12D307A-3DF7-498B-AD33-580C46F9B1C8}">
  <cacheSource type="worksheet">
    <worksheetSource name="Transaction"/>
  </cacheSource>
  <cacheFields count="8">
    <cacheField name="S.No" numFmtId="0">
      <sharedItems containsString="0" containsBlank="1" containsNumber="1" containsInteger="1" minValue="1" maxValue="51"/>
    </cacheField>
    <cacheField name="Date" numFmtId="14">
      <sharedItems containsNonDate="0" containsDate="1" containsString="0" containsBlank="1" minDate="2026-01-01T00:00:00" maxDate="2026-02-21T00:00:00"/>
    </cacheField>
    <cacheField name="Category" numFmtId="0">
      <sharedItems containsBlank="1"/>
    </cacheField>
    <cacheField name="Description" numFmtId="0">
      <sharedItems containsBlank="1"/>
    </cacheField>
    <cacheField name="Type" numFmtId="0">
      <sharedItems containsBlank="1"/>
    </cacheField>
    <cacheField name="Amount" numFmtId="164">
      <sharedItems containsString="0" containsBlank="1" containsNumber="1" containsInteger="1" minValue="30" maxValue="35000"/>
    </cacheField>
    <cacheField name="Month" numFmtId="0">
      <sharedItems containsBlank="1" count="3">
        <s v="Jan"/>
        <s v="Feb"/>
        <m/>
      </sharedItems>
    </cacheField>
    <cacheField name="Month2" numFmtId="0">
      <sharedItems containsBlank="1" count="3">
        <s v="Jan"/>
        <s v="Feb"/>
        <m/>
      </sharedItems>
    </cacheField>
  </cacheFields>
  <extLst>
    <ext xmlns:x14="http://schemas.microsoft.com/office/spreadsheetml/2009/9/main" uri="{725AE2AE-9491-48be-B2B4-4EB974FC3084}">
      <x14:pivotCacheDefinition pivotCacheId="13188517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2">
  <r>
    <d v="2026-01-01T00:00:00"/>
    <x v="0"/>
    <s v="Monthly Salary"/>
    <x v="0"/>
    <n v="35000"/>
    <x v="0"/>
  </r>
  <r>
    <d v="2026-01-02T00:00:00"/>
    <x v="1"/>
    <s v="Breakfast"/>
    <x v="1"/>
    <n v="60"/>
    <x v="0"/>
  </r>
  <r>
    <d v="2026-01-02T00:00:00"/>
    <x v="2"/>
    <s v="Bus Fare"/>
    <x v="1"/>
    <n v="30"/>
    <x v="0"/>
  </r>
  <r>
    <d v="2026-01-03T00:00:00"/>
    <x v="1"/>
    <s v="Lunch"/>
    <x v="1"/>
    <n v="120"/>
    <x v="0"/>
  </r>
  <r>
    <d v="2026-01-03T00:00:00"/>
    <x v="3"/>
    <s v="Mobile Recharge"/>
    <x v="1"/>
    <n v="249"/>
    <x v="0"/>
  </r>
  <r>
    <d v="2026-01-04T00:00:00"/>
    <x v="4"/>
    <s v="Movie Ticket"/>
    <x v="1"/>
    <n v="180"/>
    <x v="0"/>
  </r>
  <r>
    <d v="2026-01-05T00:00:00"/>
    <x v="5"/>
    <s v="T-Shirt"/>
    <x v="1"/>
    <n v="799"/>
    <x v="0"/>
  </r>
  <r>
    <d v="2026-01-06T00:00:00"/>
    <x v="6"/>
    <s v="Tablets"/>
    <x v="1"/>
    <n v="320"/>
    <x v="0"/>
  </r>
  <r>
    <d v="2026-01-07T00:00:00"/>
    <x v="7"/>
    <s v="Online Course"/>
    <x v="1"/>
    <n v="999"/>
    <x v="0"/>
  </r>
  <r>
    <d v="2026-01-10T00:00:00"/>
    <x v="8"/>
    <s v="Excel Dashboard Work"/>
    <x v="0"/>
    <n v="5000"/>
    <x v="0"/>
  </r>
  <r>
    <d v="2026-01-11T00:00:00"/>
    <x v="1"/>
    <s v="Dinner"/>
    <x v="1"/>
    <n v="180"/>
    <x v="0"/>
  </r>
  <r>
    <d v="2026-01-12T00:00:00"/>
    <x v="2"/>
    <s v="Auto Fare"/>
    <x v="1"/>
    <n v="150"/>
    <x v="0"/>
  </r>
  <r>
    <d v="2026-01-13T00:00:00"/>
    <x v="5"/>
    <s v="Shoes"/>
    <x v="1"/>
    <n v="2499"/>
    <x v="0"/>
  </r>
  <r>
    <d v="2026-01-14T00:00:00"/>
    <x v="1"/>
    <s v="Snacks"/>
    <x v="1"/>
    <n v="50"/>
    <x v="0"/>
  </r>
  <r>
    <d v="2026-01-15T00:00:00"/>
    <x v="3"/>
    <s v="ElectricityBill"/>
    <x v="1"/>
    <n v="1200"/>
    <x v="0"/>
  </r>
  <r>
    <d v="2026-01-16T00:00:00"/>
    <x v="4"/>
    <s v="OTT Subscription"/>
    <x v="1"/>
    <n v="499"/>
    <x v="0"/>
  </r>
  <r>
    <d v="2026-01-17T00:00:00"/>
    <x v="6"/>
    <s v="Doctor Visit"/>
    <x v="1"/>
    <n v="700"/>
    <x v="0"/>
  </r>
  <r>
    <d v="2026-01-18T00:00:00"/>
    <x v="7"/>
    <s v="Books"/>
    <x v="1"/>
    <n v="650"/>
    <x v="0"/>
  </r>
  <r>
    <d v="2026-01-20T00:00:00"/>
    <x v="1"/>
    <s v="Grocery"/>
    <x v="1"/>
    <n v="1850"/>
    <x v="0"/>
  </r>
  <r>
    <d v="2026-01-21T00:00:00"/>
    <x v="2"/>
    <s v="Petrol"/>
    <x v="1"/>
    <n v="1000"/>
    <x v="0"/>
  </r>
  <r>
    <d v="2026-01-22T00:00:00"/>
    <x v="5"/>
    <s v="Jeans"/>
    <x v="1"/>
    <n v="1499"/>
    <x v="0"/>
  </r>
  <r>
    <d v="2026-01-23T00:00:00"/>
    <x v="4"/>
    <s v="Gaming"/>
    <x v="1"/>
    <n v="299"/>
    <x v="0"/>
  </r>
  <r>
    <d v="2026-01-24T00:00:00"/>
    <x v="1"/>
    <s v="Coffee"/>
    <x v="1"/>
    <n v="90"/>
    <x v="0"/>
  </r>
  <r>
    <d v="2026-01-25T00:00:00"/>
    <x v="3"/>
    <s v="Internet Bill"/>
    <x v="1"/>
    <n v="799"/>
    <x v="0"/>
  </r>
  <r>
    <d v="2026-01-26T00:00:00"/>
    <x v="6"/>
    <s v="Vitamins"/>
    <x v="1"/>
    <n v="450"/>
    <x v="0"/>
  </r>
  <r>
    <d v="2026-01-27T00:00:00"/>
    <x v="7"/>
    <s v="Exam Fee"/>
    <x v="1"/>
    <n v="1500"/>
    <x v="0"/>
  </r>
  <r>
    <d v="2026-01-28T00:00:00"/>
    <x v="1"/>
    <s v="Dinner"/>
    <x v="1"/>
    <n v="220"/>
    <x v="0"/>
  </r>
  <r>
    <d v="2026-01-29T00:00:00"/>
    <x v="2"/>
    <s v="Train Ticket"/>
    <x v="1"/>
    <n v="350"/>
    <x v="0"/>
  </r>
  <r>
    <d v="2026-01-30T00:00:00"/>
    <x v="5"/>
    <s v="BackPack"/>
    <x v="1"/>
    <n v="1299"/>
    <x v="0"/>
  </r>
  <r>
    <d v="2026-01-31T00:00:00"/>
    <x v="4"/>
    <s v="Concert Ticket"/>
    <x v="1"/>
    <n v="1200"/>
    <x v="0"/>
  </r>
  <r>
    <d v="2026-02-01T00:00:00"/>
    <x v="0"/>
    <s v="Monthly Salary"/>
    <x v="0"/>
    <n v="35000"/>
    <x v="1"/>
  </r>
  <r>
    <d v="2026-02-02T00:00:00"/>
    <x v="1"/>
    <s v="Breakfast"/>
    <x v="1"/>
    <n v="70"/>
    <x v="1"/>
  </r>
  <r>
    <d v="2026-02-02T00:00:00"/>
    <x v="2"/>
    <s v="Bus Fare"/>
    <x v="1"/>
    <n v="40"/>
    <x v="1"/>
  </r>
  <r>
    <d v="2026-02-03T00:00:00"/>
    <x v="1"/>
    <s v="Lunch"/>
    <x v="1"/>
    <n v="150"/>
    <x v="1"/>
  </r>
  <r>
    <d v="2026-02-03T00:00:00"/>
    <x v="3"/>
    <s v="Mobile Recharge"/>
    <x v="1"/>
    <n v="249"/>
    <x v="1"/>
  </r>
  <r>
    <d v="2026-02-04T00:00:00"/>
    <x v="4"/>
    <s v="Movie Ticket"/>
    <x v="1"/>
    <n v="200"/>
    <x v="1"/>
  </r>
  <r>
    <d v="2026-02-07T00:00:00"/>
    <x v="5"/>
    <s v="Watch"/>
    <x v="1"/>
    <n v="1999"/>
    <x v="1"/>
  </r>
  <r>
    <d v="2026-02-08T00:00:00"/>
    <x v="6"/>
    <s v="Medicine"/>
    <x v="1"/>
    <n v="275"/>
    <x v="1"/>
  </r>
  <r>
    <d v="2026-02-09T00:00:00"/>
    <x v="7"/>
    <s v="Notebook"/>
    <x v="1"/>
    <n v="120"/>
    <x v="1"/>
  </r>
  <r>
    <d v="2026-02-10T00:00:00"/>
    <x v="8"/>
    <s v="Data Cleaning work"/>
    <x v="0"/>
    <n v="4500"/>
    <x v="1"/>
  </r>
  <r>
    <d v="2026-02-11T00:00:00"/>
    <x v="1"/>
    <s v="Grocery"/>
    <x v="1"/>
    <n v="2100"/>
    <x v="1"/>
  </r>
  <r>
    <d v="2026-02-12T00:00:00"/>
    <x v="2"/>
    <s v="Petrol"/>
    <x v="1"/>
    <n v="1200"/>
    <x v="1"/>
  </r>
  <r>
    <d v="2026-02-13T00:00:00"/>
    <x v="5"/>
    <s v="Headphones"/>
    <x v="1"/>
    <n v="2499"/>
    <x v="1"/>
  </r>
  <r>
    <d v="2026-02-14T00:00:00"/>
    <x v="4"/>
    <s v="Dinner out"/>
    <x v="1"/>
    <n v="850"/>
    <x v="1"/>
  </r>
  <r>
    <d v="2026-02-15T00:00:00"/>
    <x v="3"/>
    <s v="Electricity Bill"/>
    <x v="1"/>
    <n v="1300"/>
    <x v="1"/>
  </r>
  <r>
    <d v="2026-02-16T00:00:00"/>
    <x v="6"/>
    <s v="Health Checkup"/>
    <x v="1"/>
    <n v="900"/>
    <x v="1"/>
  </r>
  <r>
    <d v="2026-02-17T00:00:00"/>
    <x v="7"/>
    <s v="Online Course"/>
    <x v="1"/>
    <n v="1499"/>
    <x v="1"/>
  </r>
  <r>
    <d v="2026-02-18T00:00:00"/>
    <x v="1"/>
    <s v="Snacks"/>
    <x v="1"/>
    <n v="80"/>
    <x v="1"/>
  </r>
  <r>
    <d v="2026-02-19T00:00:00"/>
    <x v="2"/>
    <s v="Train Ticket"/>
    <x v="1"/>
    <n v="420"/>
    <x v="1"/>
  </r>
  <r>
    <d v="2026-02-20T00:00:00"/>
    <x v="1"/>
    <s v="Lunch"/>
    <x v="1"/>
    <n v="1000"/>
    <x v="1"/>
  </r>
  <r>
    <d v="2026-02-20T00:00:00"/>
    <x v="9"/>
    <s v="Friends Trip"/>
    <x v="1"/>
    <n v="3000"/>
    <x v="1"/>
  </r>
  <r>
    <m/>
    <x v="10"/>
    <m/>
    <x v="2"/>
    <m/>
    <x v="2"/>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2">
  <r>
    <n v="1"/>
    <d v="2026-01-01T00:00:00"/>
    <s v="Salary"/>
    <s v="Monthly Salary"/>
    <s v="Income"/>
    <n v="35000"/>
    <x v="0"/>
    <x v="0"/>
  </r>
  <r>
    <n v="2"/>
    <d v="2026-01-02T00:00:00"/>
    <s v="Food"/>
    <s v="Breakfast"/>
    <s v="Expense"/>
    <n v="60"/>
    <x v="0"/>
    <x v="0"/>
  </r>
  <r>
    <n v="3"/>
    <d v="2026-01-02T00:00:00"/>
    <s v="Transport"/>
    <s v="Bus Fare"/>
    <s v="Expense"/>
    <n v="30"/>
    <x v="0"/>
    <x v="0"/>
  </r>
  <r>
    <n v="4"/>
    <d v="2026-01-03T00:00:00"/>
    <s v="Food"/>
    <s v="Lunch"/>
    <s v="Expense"/>
    <n v="120"/>
    <x v="0"/>
    <x v="0"/>
  </r>
  <r>
    <n v="5"/>
    <d v="2026-01-03T00:00:00"/>
    <s v="Utilities"/>
    <s v="Mobile Recharge"/>
    <s v="Expense"/>
    <n v="249"/>
    <x v="0"/>
    <x v="0"/>
  </r>
  <r>
    <n v="6"/>
    <d v="2026-01-04T00:00:00"/>
    <s v="Entertainment"/>
    <s v="Movie Ticket"/>
    <s v="Expense"/>
    <n v="180"/>
    <x v="0"/>
    <x v="0"/>
  </r>
  <r>
    <n v="7"/>
    <d v="2026-01-05T00:00:00"/>
    <s v="Shopping"/>
    <s v="T-Shirt"/>
    <s v="Expense"/>
    <n v="799"/>
    <x v="0"/>
    <x v="0"/>
  </r>
  <r>
    <n v="8"/>
    <d v="2026-01-06T00:00:00"/>
    <s v="Medical"/>
    <s v="Tablets"/>
    <s v="Expense"/>
    <n v="320"/>
    <x v="0"/>
    <x v="0"/>
  </r>
  <r>
    <n v="9"/>
    <d v="2026-01-07T00:00:00"/>
    <s v="Education"/>
    <s v="Online Course"/>
    <s v="Expense"/>
    <n v="999"/>
    <x v="0"/>
    <x v="0"/>
  </r>
  <r>
    <n v="10"/>
    <d v="2026-01-10T00:00:00"/>
    <s v="Freelance"/>
    <s v="Excel Dashboard Work"/>
    <s v="Income"/>
    <n v="5000"/>
    <x v="0"/>
    <x v="0"/>
  </r>
  <r>
    <n v="11"/>
    <d v="2026-01-11T00:00:00"/>
    <s v="Food"/>
    <s v="Dinner"/>
    <s v="Expense"/>
    <n v="180"/>
    <x v="0"/>
    <x v="0"/>
  </r>
  <r>
    <n v="12"/>
    <d v="2026-01-12T00:00:00"/>
    <s v="Transport"/>
    <s v="Auto Fare"/>
    <s v="Expense"/>
    <n v="150"/>
    <x v="0"/>
    <x v="0"/>
  </r>
  <r>
    <n v="13"/>
    <d v="2026-01-13T00:00:00"/>
    <s v="Shopping"/>
    <s v="Shoes"/>
    <s v="Expense"/>
    <n v="2499"/>
    <x v="0"/>
    <x v="0"/>
  </r>
  <r>
    <n v="14"/>
    <d v="2026-01-14T00:00:00"/>
    <s v="Food"/>
    <s v="Snacks"/>
    <s v="Expense"/>
    <n v="50"/>
    <x v="0"/>
    <x v="0"/>
  </r>
  <r>
    <n v="15"/>
    <d v="2026-01-15T00:00:00"/>
    <s v="Utilities"/>
    <s v="ElectricityBill"/>
    <s v="Expense"/>
    <n v="1200"/>
    <x v="0"/>
    <x v="0"/>
  </r>
  <r>
    <n v="16"/>
    <d v="2026-01-16T00:00:00"/>
    <s v="Entertainment"/>
    <s v="OTT Subscription"/>
    <s v="Expense"/>
    <n v="499"/>
    <x v="0"/>
    <x v="0"/>
  </r>
  <r>
    <n v="17"/>
    <d v="2026-01-17T00:00:00"/>
    <s v="Medical"/>
    <s v="Doctor Visit"/>
    <s v="Expense"/>
    <n v="700"/>
    <x v="0"/>
    <x v="0"/>
  </r>
  <r>
    <n v="18"/>
    <d v="2026-01-18T00:00:00"/>
    <s v="Education"/>
    <s v="Books"/>
    <s v="Expense"/>
    <n v="650"/>
    <x v="0"/>
    <x v="0"/>
  </r>
  <r>
    <n v="19"/>
    <d v="2026-01-20T00:00:00"/>
    <s v="Food"/>
    <s v="Grocery"/>
    <s v="Expense"/>
    <n v="1850"/>
    <x v="0"/>
    <x v="0"/>
  </r>
  <r>
    <n v="20"/>
    <d v="2026-01-21T00:00:00"/>
    <s v="Transport"/>
    <s v="Petrol"/>
    <s v="Expense"/>
    <n v="1000"/>
    <x v="0"/>
    <x v="0"/>
  </r>
  <r>
    <n v="21"/>
    <d v="2026-01-22T00:00:00"/>
    <s v="Shopping"/>
    <s v="Jeans"/>
    <s v="Expense"/>
    <n v="1499"/>
    <x v="0"/>
    <x v="0"/>
  </r>
  <r>
    <n v="22"/>
    <d v="2026-01-23T00:00:00"/>
    <s v="Entertainment"/>
    <s v="Gaming"/>
    <s v="Expense"/>
    <n v="299"/>
    <x v="0"/>
    <x v="0"/>
  </r>
  <r>
    <n v="23"/>
    <d v="2026-01-24T00:00:00"/>
    <s v="Food"/>
    <s v="Coffee"/>
    <s v="Expense"/>
    <n v="90"/>
    <x v="0"/>
    <x v="0"/>
  </r>
  <r>
    <n v="24"/>
    <d v="2026-01-25T00:00:00"/>
    <s v="Utilities"/>
    <s v="Internet Bill"/>
    <s v="Expense"/>
    <n v="799"/>
    <x v="0"/>
    <x v="0"/>
  </r>
  <r>
    <n v="25"/>
    <d v="2026-01-26T00:00:00"/>
    <s v="Medical"/>
    <s v="Vitamins"/>
    <s v="Expense"/>
    <n v="450"/>
    <x v="0"/>
    <x v="0"/>
  </r>
  <r>
    <n v="26"/>
    <d v="2026-01-27T00:00:00"/>
    <s v="Education"/>
    <s v="Exam Fee"/>
    <s v="Expense"/>
    <n v="1500"/>
    <x v="0"/>
    <x v="0"/>
  </r>
  <r>
    <n v="27"/>
    <d v="2026-01-28T00:00:00"/>
    <s v="Food"/>
    <s v="Dinner"/>
    <s v="Expense"/>
    <n v="220"/>
    <x v="0"/>
    <x v="0"/>
  </r>
  <r>
    <n v="28"/>
    <d v="2026-01-29T00:00:00"/>
    <s v="Transport"/>
    <s v="Train Ticket"/>
    <s v="Expense"/>
    <n v="350"/>
    <x v="0"/>
    <x v="0"/>
  </r>
  <r>
    <n v="29"/>
    <d v="2026-01-30T00:00:00"/>
    <s v="Shopping"/>
    <s v="BackPack"/>
    <s v="Expense"/>
    <n v="1299"/>
    <x v="0"/>
    <x v="0"/>
  </r>
  <r>
    <n v="30"/>
    <d v="2026-01-31T00:00:00"/>
    <s v="Entertainment"/>
    <s v="Concert Ticket"/>
    <s v="Expense"/>
    <n v="1200"/>
    <x v="0"/>
    <x v="0"/>
  </r>
  <r>
    <n v="31"/>
    <d v="2026-02-01T00:00:00"/>
    <s v="Salary"/>
    <s v="Monthly Salary"/>
    <s v="Income"/>
    <n v="35000"/>
    <x v="1"/>
    <x v="1"/>
  </r>
  <r>
    <n v="32"/>
    <d v="2026-02-02T00:00:00"/>
    <s v="Food"/>
    <s v="Breakfast"/>
    <s v="Expense"/>
    <n v="70"/>
    <x v="1"/>
    <x v="1"/>
  </r>
  <r>
    <n v="33"/>
    <d v="2026-02-02T00:00:00"/>
    <s v="Transport"/>
    <s v="Bus Fare"/>
    <s v="Expense"/>
    <n v="40"/>
    <x v="1"/>
    <x v="1"/>
  </r>
  <r>
    <n v="34"/>
    <d v="2026-02-03T00:00:00"/>
    <s v="Food"/>
    <s v="Lunch"/>
    <s v="Expense"/>
    <n v="150"/>
    <x v="1"/>
    <x v="1"/>
  </r>
  <r>
    <n v="35"/>
    <d v="2026-02-03T00:00:00"/>
    <s v="Utilities"/>
    <s v="Mobile Recharge"/>
    <s v="Expense"/>
    <n v="249"/>
    <x v="1"/>
    <x v="1"/>
  </r>
  <r>
    <n v="36"/>
    <d v="2026-02-04T00:00:00"/>
    <s v="Entertainment"/>
    <s v="Movie Ticket"/>
    <s v="Expense"/>
    <n v="200"/>
    <x v="1"/>
    <x v="1"/>
  </r>
  <r>
    <n v="37"/>
    <d v="2026-02-07T00:00:00"/>
    <s v="Shopping"/>
    <s v="Watch"/>
    <s v="Expense"/>
    <n v="1999"/>
    <x v="1"/>
    <x v="1"/>
  </r>
  <r>
    <n v="38"/>
    <d v="2026-02-08T00:00:00"/>
    <s v="Medical"/>
    <s v="Medicine"/>
    <s v="Expense"/>
    <n v="275"/>
    <x v="1"/>
    <x v="1"/>
  </r>
  <r>
    <n v="39"/>
    <d v="2026-02-09T00:00:00"/>
    <s v="Education"/>
    <s v="Notebook"/>
    <s v="Expense"/>
    <n v="120"/>
    <x v="1"/>
    <x v="1"/>
  </r>
  <r>
    <n v="40"/>
    <d v="2026-02-10T00:00:00"/>
    <s v="Freelance"/>
    <s v="Data Cleaning work"/>
    <s v="Income"/>
    <n v="4500"/>
    <x v="1"/>
    <x v="1"/>
  </r>
  <r>
    <n v="41"/>
    <d v="2026-02-11T00:00:00"/>
    <s v="Food"/>
    <s v="Grocery"/>
    <s v="Expense"/>
    <n v="2100"/>
    <x v="1"/>
    <x v="1"/>
  </r>
  <r>
    <n v="42"/>
    <d v="2026-02-12T00:00:00"/>
    <s v="Transport"/>
    <s v="Petrol"/>
    <s v="Expense"/>
    <n v="1200"/>
    <x v="1"/>
    <x v="1"/>
  </r>
  <r>
    <n v="43"/>
    <d v="2026-02-13T00:00:00"/>
    <s v="Shopping"/>
    <s v="Headphones"/>
    <s v="Expense"/>
    <n v="2499"/>
    <x v="1"/>
    <x v="1"/>
  </r>
  <r>
    <n v="44"/>
    <d v="2026-02-14T00:00:00"/>
    <s v="Entertainment"/>
    <s v="Dinner out"/>
    <s v="Expense"/>
    <n v="850"/>
    <x v="1"/>
    <x v="1"/>
  </r>
  <r>
    <n v="45"/>
    <d v="2026-02-15T00:00:00"/>
    <s v="Utilities"/>
    <s v="Electricity Bill"/>
    <s v="Expense"/>
    <n v="1300"/>
    <x v="1"/>
    <x v="1"/>
  </r>
  <r>
    <n v="46"/>
    <d v="2026-02-16T00:00:00"/>
    <s v="Medical"/>
    <s v="Health Checkup"/>
    <s v="Expense"/>
    <n v="900"/>
    <x v="1"/>
    <x v="1"/>
  </r>
  <r>
    <n v="47"/>
    <d v="2026-02-17T00:00:00"/>
    <s v="Education"/>
    <s v="Online Course"/>
    <s v="Expense"/>
    <n v="1499"/>
    <x v="1"/>
    <x v="1"/>
  </r>
  <r>
    <n v="48"/>
    <d v="2026-02-18T00:00:00"/>
    <s v="Food"/>
    <s v="Snacks"/>
    <s v="Expense"/>
    <n v="80"/>
    <x v="1"/>
    <x v="1"/>
  </r>
  <r>
    <n v="49"/>
    <d v="2026-02-19T00:00:00"/>
    <s v="Transport"/>
    <s v="Train Ticket"/>
    <s v="Expense"/>
    <n v="420"/>
    <x v="1"/>
    <x v="1"/>
  </r>
  <r>
    <n v="50"/>
    <d v="2026-02-20T00:00:00"/>
    <s v="Food"/>
    <s v="Lunch"/>
    <s v="Expense"/>
    <n v="1000"/>
    <x v="1"/>
    <x v="1"/>
  </r>
  <r>
    <n v="51"/>
    <d v="2026-02-20T00:00:00"/>
    <s v="Travel"/>
    <s v="Friends Trip"/>
    <s v="Expense"/>
    <n v="3000"/>
    <x v="1"/>
    <x v="1"/>
  </r>
  <r>
    <m/>
    <m/>
    <m/>
    <m/>
    <m/>
    <m/>
    <x v="2"/>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76E7F2E-4E0D-4ED0-AA6A-94E8C3FADF2F}" name="Actual column" cacheId="1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G3:H11" firstHeaderRow="1" firstDataRow="1" firstDataCol="1" rowPageCount="1" colPageCount="1"/>
  <pivotFields count="6">
    <pivotField numFmtId="14" showAll="0"/>
    <pivotField axis="axisRow" showAll="0">
      <items count="12">
        <item x="7"/>
        <item x="4"/>
        <item x="1"/>
        <item h="1" x="8"/>
        <item x="6"/>
        <item h="1" x="0"/>
        <item x="5"/>
        <item x="2"/>
        <item x="3"/>
        <item h="1" x="9"/>
        <item h="1" x="10"/>
        <item t="default"/>
      </items>
    </pivotField>
    <pivotField showAll="0"/>
    <pivotField axis="axisPage" showAll="0">
      <items count="4">
        <item x="1"/>
        <item x="0"/>
        <item x="2"/>
        <item t="default"/>
      </items>
    </pivotField>
    <pivotField dataField="1" showAll="0"/>
    <pivotField showAll="0">
      <items count="4">
        <item h="1" x="0"/>
        <item x="1"/>
        <item h="1" x="2"/>
        <item t="default"/>
      </items>
    </pivotField>
  </pivotFields>
  <rowFields count="1">
    <field x="1"/>
  </rowFields>
  <rowItems count="8">
    <i>
      <x/>
    </i>
    <i>
      <x v="1"/>
    </i>
    <i>
      <x v="2"/>
    </i>
    <i>
      <x v="4"/>
    </i>
    <i>
      <x v="6"/>
    </i>
    <i>
      <x v="7"/>
    </i>
    <i>
      <x v="8"/>
    </i>
    <i t="grand">
      <x/>
    </i>
  </rowItems>
  <colItems count="1">
    <i/>
  </colItems>
  <pageFields count="1">
    <pageField fld="3" item="0" hier="-1"/>
  </pageFields>
  <dataFields count="1">
    <dataField name="Sum of Amount" fld="4" baseField="0" baseItem="0"/>
  </dataFields>
  <chartFormats count="1">
    <chartFormat chart="2"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646E8F1-4F11-4544-939F-05687DF79FD0}" name="PivotTable7" cacheId="1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3:E12" firstHeaderRow="1" firstDataRow="1" firstDataCol="1" rowPageCount="1" colPageCount="1"/>
  <pivotFields count="6">
    <pivotField numFmtId="14" showAll="0"/>
    <pivotField axis="axisRow" showAll="0">
      <items count="12">
        <item x="7"/>
        <item x="4"/>
        <item x="1"/>
        <item x="8"/>
        <item x="6"/>
        <item x="0"/>
        <item x="5"/>
        <item x="2"/>
        <item x="3"/>
        <item x="9"/>
        <item x="10"/>
        <item t="default"/>
      </items>
    </pivotField>
    <pivotField showAll="0"/>
    <pivotField axis="axisPage" showAll="0">
      <items count="4">
        <item x="1"/>
        <item x="0"/>
        <item x="2"/>
        <item t="default"/>
      </items>
    </pivotField>
    <pivotField dataField="1" showAll="0"/>
    <pivotField showAll="0">
      <items count="4">
        <item h="1" x="0"/>
        <item x="1"/>
        <item h="1" x="2"/>
        <item t="default"/>
      </items>
    </pivotField>
  </pivotFields>
  <rowFields count="1">
    <field x="1"/>
  </rowFields>
  <rowItems count="9">
    <i>
      <x/>
    </i>
    <i>
      <x v="1"/>
    </i>
    <i>
      <x v="2"/>
    </i>
    <i>
      <x v="4"/>
    </i>
    <i>
      <x v="6"/>
    </i>
    <i>
      <x v="7"/>
    </i>
    <i>
      <x v="8"/>
    </i>
    <i>
      <x v="9"/>
    </i>
    <i t="grand">
      <x/>
    </i>
  </rowItems>
  <colItems count="1">
    <i/>
  </colItems>
  <pageFields count="1">
    <pageField fld="3" item="0" hier="-1"/>
  </pageFields>
  <dataFields count="1">
    <dataField name="Sum of Amount" fld="4" baseField="1"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DDC5A0D-35AF-4E4F-A27B-BE667FD98FC8}" name="PivotTable1" cacheId="1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16:E27" firstHeaderRow="1" firstDataRow="1" firstDataCol="1" rowPageCount="1" colPageCount="1"/>
  <pivotFields count="6">
    <pivotField numFmtId="14" showAll="0"/>
    <pivotField axis="axisRow" showAll="0">
      <items count="12">
        <item x="7"/>
        <item x="4"/>
        <item x="1"/>
        <item x="8"/>
        <item x="6"/>
        <item x="0"/>
        <item x="5"/>
        <item x="2"/>
        <item x="3"/>
        <item x="9"/>
        <item x="10"/>
        <item t="default"/>
      </items>
    </pivotField>
    <pivotField showAll="0"/>
    <pivotField showAll="0"/>
    <pivotField dataField="1" showAll="0"/>
    <pivotField axis="axisPage" multipleItemSelectionAllowed="1" showAll="0">
      <items count="4">
        <item h="1" x="0"/>
        <item x="1"/>
        <item h="1" x="2"/>
        <item t="default"/>
      </items>
    </pivotField>
  </pivotFields>
  <rowFields count="1">
    <field x="1"/>
  </rowFields>
  <rowItems count="11">
    <i>
      <x/>
    </i>
    <i>
      <x v="1"/>
    </i>
    <i>
      <x v="2"/>
    </i>
    <i>
      <x v="3"/>
    </i>
    <i>
      <x v="4"/>
    </i>
    <i>
      <x v="5"/>
    </i>
    <i>
      <x v="6"/>
    </i>
    <i>
      <x v="7"/>
    </i>
    <i>
      <x v="8"/>
    </i>
    <i>
      <x v="9"/>
    </i>
    <i t="grand">
      <x/>
    </i>
  </rowItems>
  <colItems count="1">
    <i/>
  </colItems>
  <pageFields count="1">
    <pageField fld="5" hier="-1"/>
  </pageFields>
  <dataFields count="1">
    <dataField name="Sum of Amount"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C421408-5E34-42DD-B8D3-233700896F70}" name="PivotTable3" cacheId="1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1">
  <location ref="A3:B5" firstHeaderRow="1" firstDataRow="1" firstDataCol="1" rowPageCount="1" colPageCount="1"/>
  <pivotFields count="6">
    <pivotField numFmtId="14" showAll="0"/>
    <pivotField showAll="0"/>
    <pivotField showAll="0"/>
    <pivotField axis="axisPage" showAll="0">
      <items count="4">
        <item x="1"/>
        <item x="0"/>
        <item x="2"/>
        <item t="default"/>
      </items>
    </pivotField>
    <pivotField dataField="1" showAll="0"/>
    <pivotField axis="axisRow" showAll="0">
      <items count="4">
        <item h="1" x="0"/>
        <item x="1"/>
        <item h="1" x="2"/>
        <item t="default"/>
      </items>
    </pivotField>
  </pivotFields>
  <rowFields count="1">
    <field x="5"/>
  </rowFields>
  <rowItems count="2">
    <i>
      <x v="1"/>
    </i>
    <i t="grand">
      <x/>
    </i>
  </rowItems>
  <colItems count="1">
    <i/>
  </colItems>
  <pageFields count="1">
    <pageField fld="3" item="0" hier="-1"/>
  </pageFields>
  <dataFields count="1">
    <dataField name="Sum of Amount" fld="4" baseField="0" baseItem="0"/>
  </dataFields>
  <chartFormats count="1">
    <chartFormat chart="2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34E7C55-A10C-47FE-BA6F-CAD54CF41623}" name="PivotTable4" cacheId="1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location ref="J16:M28" firstHeaderRow="1" firstDataRow="2" firstDataCol="1" rowPageCount="1" colPageCount="1"/>
  <pivotFields count="6">
    <pivotField numFmtId="14" showAll="0"/>
    <pivotField axis="axisRow" showAll="0">
      <items count="12">
        <item x="7"/>
        <item x="4"/>
        <item x="1"/>
        <item x="8"/>
        <item x="6"/>
        <item x="0"/>
        <item x="5"/>
        <item x="2"/>
        <item x="3"/>
        <item x="9"/>
        <item x="10"/>
        <item t="default"/>
      </items>
    </pivotField>
    <pivotField showAll="0"/>
    <pivotField axis="axisCol" showAll="0">
      <items count="4">
        <item x="1"/>
        <item x="0"/>
        <item x="2"/>
        <item t="default"/>
      </items>
    </pivotField>
    <pivotField dataField="1" showAll="0"/>
    <pivotField axis="axisPage" multipleItemSelectionAllowed="1" showAll="0">
      <items count="4">
        <item h="1" x="0"/>
        <item x="1"/>
        <item h="1" x="2"/>
        <item t="default"/>
      </items>
    </pivotField>
  </pivotFields>
  <rowFields count="1">
    <field x="1"/>
  </rowFields>
  <rowItems count="11">
    <i>
      <x/>
    </i>
    <i>
      <x v="1"/>
    </i>
    <i>
      <x v="2"/>
    </i>
    <i>
      <x v="3"/>
    </i>
    <i>
      <x v="4"/>
    </i>
    <i>
      <x v="5"/>
    </i>
    <i>
      <x v="6"/>
    </i>
    <i>
      <x v="7"/>
    </i>
    <i>
      <x v="8"/>
    </i>
    <i>
      <x v="9"/>
    </i>
    <i t="grand">
      <x/>
    </i>
  </rowItems>
  <colFields count="1">
    <field x="3"/>
  </colFields>
  <colItems count="3">
    <i>
      <x/>
    </i>
    <i>
      <x v="1"/>
    </i>
    <i t="grand">
      <x/>
    </i>
  </colItems>
  <pageFields count="1">
    <pageField fld="5" hier="-1"/>
  </pageFields>
  <dataFields count="1">
    <dataField name="Sum of Amount" fld="4" baseField="0" baseItem="0"/>
  </dataFields>
  <chartFormats count="3">
    <chartFormat chart="14" format="4" series="1">
      <pivotArea type="data" outline="0" fieldPosition="0">
        <references count="2">
          <reference field="4294967294" count="1" selected="0">
            <x v="0"/>
          </reference>
          <reference field="3" count="1" selected="0">
            <x v="0"/>
          </reference>
        </references>
      </pivotArea>
    </chartFormat>
    <chartFormat chart="14" format="5" series="1">
      <pivotArea type="data" outline="0" fieldPosition="0">
        <references count="2">
          <reference field="4294967294" count="1" selected="0">
            <x v="0"/>
          </reference>
          <reference field="3" count="1" selected="0">
            <x v="1"/>
          </reference>
        </references>
      </pivotArea>
    </chartFormat>
    <chartFormat chart="14" format="6" series="1">
      <pivotArea type="data" outline="0" fieldPosition="0">
        <references count="2">
          <reference field="4294967294" count="1" selected="0">
            <x v="0"/>
          </reference>
          <reference field="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09040B6-1B79-49A0-BC20-6D7796F08FDC}" name="PivotTable2" cacheId="1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G16:H25" firstHeaderRow="1" firstDataRow="1" firstDataCol="1" rowPageCount="1" colPageCount="1"/>
  <pivotFields count="6">
    <pivotField numFmtId="14" showAll="0"/>
    <pivotField axis="axisRow" showAll="0">
      <items count="12">
        <item x="7"/>
        <item x="4"/>
        <item x="1"/>
        <item h="1" x="8"/>
        <item x="6"/>
        <item h="1" x="0"/>
        <item x="5"/>
        <item x="2"/>
        <item x="3"/>
        <item x="9"/>
        <item h="1" x="10"/>
        <item t="default"/>
      </items>
    </pivotField>
    <pivotField showAll="0"/>
    <pivotField showAll="0"/>
    <pivotField dataField="1" showAll="0"/>
    <pivotField axis="axisPage" multipleItemSelectionAllowed="1" showAll="0">
      <items count="4">
        <item h="1" x="0"/>
        <item x="1"/>
        <item h="1" x="2"/>
        <item t="default"/>
      </items>
    </pivotField>
  </pivotFields>
  <rowFields count="1">
    <field x="1"/>
  </rowFields>
  <rowItems count="9">
    <i>
      <x/>
    </i>
    <i>
      <x v="1"/>
    </i>
    <i>
      <x v="2"/>
    </i>
    <i>
      <x v="4"/>
    </i>
    <i>
      <x v="6"/>
    </i>
    <i>
      <x v="7"/>
    </i>
    <i>
      <x v="8"/>
    </i>
    <i>
      <x v="9"/>
    </i>
    <i t="grand">
      <x/>
    </i>
  </rowItems>
  <colItems count="1">
    <i/>
  </colItems>
  <pageFields count="1">
    <pageField fld="5" hier="-1"/>
  </pageFields>
  <dataFields count="1">
    <dataField name="Sum of Amount" fld="4" baseField="0" baseItem="0"/>
  </dataFields>
  <chartFormats count="10">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1" count="1" selected="0">
            <x v="0"/>
          </reference>
        </references>
      </pivotArea>
    </chartFormat>
    <chartFormat chart="2" format="2">
      <pivotArea type="data" outline="0" fieldPosition="0">
        <references count="2">
          <reference field="4294967294" count="1" selected="0">
            <x v="0"/>
          </reference>
          <reference field="1" count="1" selected="0">
            <x v="1"/>
          </reference>
        </references>
      </pivotArea>
    </chartFormat>
    <chartFormat chart="2" format="3">
      <pivotArea type="data" outline="0" fieldPosition="0">
        <references count="2">
          <reference field="4294967294" count="1" selected="0">
            <x v="0"/>
          </reference>
          <reference field="1" count="1" selected="0">
            <x v="2"/>
          </reference>
        </references>
      </pivotArea>
    </chartFormat>
    <chartFormat chart="2" format="4">
      <pivotArea type="data" outline="0" fieldPosition="0">
        <references count="2">
          <reference field="4294967294" count="1" selected="0">
            <x v="0"/>
          </reference>
          <reference field="1" count="1" selected="0">
            <x v="3"/>
          </reference>
        </references>
      </pivotArea>
    </chartFormat>
    <chartFormat chart="2" format="5">
      <pivotArea type="data" outline="0" fieldPosition="0">
        <references count="2">
          <reference field="4294967294" count="1" selected="0">
            <x v="0"/>
          </reference>
          <reference field="1" count="1" selected="0">
            <x v="4"/>
          </reference>
        </references>
      </pivotArea>
    </chartFormat>
    <chartFormat chart="2" format="6">
      <pivotArea type="data" outline="0" fieldPosition="0">
        <references count="2">
          <reference field="4294967294" count="1" selected="0">
            <x v="0"/>
          </reference>
          <reference field="1" count="1" selected="0">
            <x v="5"/>
          </reference>
        </references>
      </pivotArea>
    </chartFormat>
    <chartFormat chart="2" format="7">
      <pivotArea type="data" outline="0" fieldPosition="0">
        <references count="2">
          <reference field="4294967294" count="1" selected="0">
            <x v="0"/>
          </reference>
          <reference field="1" count="1" selected="0">
            <x v="6"/>
          </reference>
        </references>
      </pivotArea>
    </chartFormat>
    <chartFormat chart="2" format="8">
      <pivotArea type="data" outline="0" fieldPosition="0">
        <references count="2">
          <reference field="4294967294" count="1" selected="0">
            <x v="0"/>
          </reference>
          <reference field="1" count="1" selected="0">
            <x v="7"/>
          </reference>
        </references>
      </pivotArea>
    </chartFormat>
    <chartFormat chart="2" format="9">
      <pivotArea type="data" outline="0" fieldPosition="0">
        <references count="2">
          <reference field="4294967294" count="1" selected="0">
            <x v="0"/>
          </reference>
          <reference field="1"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A56D1F1-4F08-435A-8766-587097A2BCA0}" name="Average Daily Expense" cacheId="1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P14:P15" firstHeaderRow="1" firstDataRow="1" firstDataCol="0" rowPageCount="1" colPageCount="1"/>
  <pivotFields count="6">
    <pivotField numFmtId="14" showAll="0"/>
    <pivotField showAll="0"/>
    <pivotField showAll="0"/>
    <pivotField axis="axisPage" showAll="0">
      <items count="4">
        <item x="1"/>
        <item x="0"/>
        <item x="2"/>
        <item t="default"/>
      </items>
    </pivotField>
    <pivotField dataField="1" showAll="0"/>
    <pivotField showAll="0">
      <items count="4">
        <item h="1" x="0"/>
        <item x="1"/>
        <item h="1" x="2"/>
        <item t="default"/>
      </items>
    </pivotField>
  </pivotFields>
  <rowItems count="1">
    <i/>
  </rowItems>
  <colItems count="1">
    <i/>
  </colItems>
  <pageFields count="1">
    <pageField fld="3" item="0" hier="-1"/>
  </pageFields>
  <dataFields count="1">
    <dataField name="Average of Amount" fld="4"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86B8CFC-0D5E-49BC-9040-69A460190B98}" name="Total Expense" cacheId="1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K10:L12" firstHeaderRow="1" firstDataRow="1" firstDataCol="1"/>
  <pivotFields count="6">
    <pivotField numFmtId="14" showAll="0"/>
    <pivotField showAll="0"/>
    <pivotField showAll="0"/>
    <pivotField axis="axisRow" showAll="0">
      <items count="4">
        <item x="1"/>
        <item h="1" x="0"/>
        <item h="1" x="2"/>
        <item t="default"/>
      </items>
    </pivotField>
    <pivotField dataField="1" showAll="0"/>
    <pivotField showAll="0">
      <items count="4">
        <item h="1" x="0"/>
        <item x="1"/>
        <item h="1" x="2"/>
        <item t="default"/>
      </items>
    </pivotField>
  </pivotFields>
  <rowFields count="1">
    <field x="3"/>
  </rowFields>
  <rowItems count="2">
    <i>
      <x/>
    </i>
    <i t="grand">
      <x/>
    </i>
  </rowItems>
  <colItems count="1">
    <i/>
  </colItems>
  <dataFields count="1">
    <dataField name="Sum of Amount"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BB1F17CF-A334-4611-AB41-37378382E69E}" name="Total Income" cacheId="1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K7:K8" firstHeaderRow="1" firstDataRow="1" firstDataCol="0" rowPageCount="1" colPageCount="1"/>
  <pivotFields count="6">
    <pivotField numFmtId="14" showAll="0"/>
    <pivotField showAll="0"/>
    <pivotField showAll="0"/>
    <pivotField axis="axisPage" showAll="0">
      <items count="4">
        <item x="1"/>
        <item x="0"/>
        <item x="2"/>
        <item t="default"/>
      </items>
    </pivotField>
    <pivotField dataField="1" showAll="0"/>
    <pivotField showAll="0">
      <items count="4">
        <item h="1" x="0"/>
        <item x="1"/>
        <item h="1" x="2"/>
        <item t="default"/>
      </items>
    </pivotField>
  </pivotFields>
  <rowItems count="1">
    <i/>
  </rowItems>
  <colItems count="1">
    <i/>
  </colItems>
  <pageFields count="1">
    <pageField fld="3" item="1" hier="-1"/>
  </pageFields>
  <dataFields count="1">
    <dataField name="Sum of Amount"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3EE1AF7-DDC1-4E6E-B976-DB22A68789E6}" name="PivotTable5" cacheId="2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P19:Q21" firstHeaderRow="1" firstDataRow="1" firstDataCol="1" rowPageCount="1" colPageCount="1"/>
  <pivotFields count="8">
    <pivotField showAll="0"/>
    <pivotField showAll="0"/>
    <pivotField showAll="0"/>
    <pivotField showAll="0"/>
    <pivotField showAll="0"/>
    <pivotField showAll="0"/>
    <pivotField name="Month" axis="axisPage" multipleItemSelectionAllowed="1" showAll="0">
      <items count="4">
        <item h="1" x="0"/>
        <item x="1"/>
        <item h="1" x="2"/>
        <item t="default"/>
      </items>
    </pivotField>
    <pivotField axis="axisRow" dataField="1" showAll="0">
      <items count="4">
        <item x="0"/>
        <item x="1"/>
        <item h="1" x="2"/>
        <item t="default"/>
      </items>
    </pivotField>
  </pivotFields>
  <rowFields count="1">
    <field x="7"/>
  </rowFields>
  <rowItems count="2">
    <i>
      <x v="1"/>
    </i>
    <i t="grand">
      <x/>
    </i>
  </rowItems>
  <colItems count="1">
    <i/>
  </colItems>
  <pageFields count="1">
    <pageField fld="6" hier="-1"/>
  </pageFields>
  <dataFields count="1">
    <dataField name="Count of Month2" fld="7"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C84BB25D-58A4-49FD-946B-DFBA5387BC7B}" name="PivotTable9" cacheId="19"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K21:K22" firstHeaderRow="1" firstDataRow="1" firstDataCol="0" rowPageCount="1" colPageCount="1"/>
  <pivotFields count="6">
    <pivotField numFmtId="14" showAll="0"/>
    <pivotField showAll="0"/>
    <pivotField showAll="0"/>
    <pivotField axis="axisPage" showAll="0">
      <items count="4">
        <item x="1"/>
        <item x="0"/>
        <item x="2"/>
        <item t="default"/>
      </items>
    </pivotField>
    <pivotField dataField="1" showAll="0"/>
    <pivotField showAll="0">
      <items count="4">
        <item h="1" x="0"/>
        <item x="1"/>
        <item h="1" x="2"/>
        <item t="default"/>
      </items>
    </pivotField>
  </pivotFields>
  <rowItems count="1">
    <i/>
  </rowItems>
  <colItems count="1">
    <i/>
  </colItems>
  <pageFields count="1">
    <pageField fld="3" item="0" hier="-1"/>
  </pageFields>
  <dataFields count="1">
    <dataField name="Max of Amount" fld="4" subtotal="max"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37C5607B-A350-445A-A245-23CBFC96B322}" sourceName="Month">
  <pivotTables>
    <pivotTable tabId="4" name="PivotTable3"/>
    <pivotTable tabId="1" name="Total Income"/>
    <pivotTable tabId="1" name="Total Expense"/>
    <pivotTable tabId="1" name="Average Daily Expense"/>
    <pivotTable tabId="1" name="PivotTable9"/>
    <pivotTable tabId="4" name="PivotTable1"/>
    <pivotTable tabId="4" name="PivotTable7"/>
    <pivotTable tabId="4" name="Actual column"/>
    <pivotTable tabId="4" name="PivotTable2"/>
    <pivotTable tabId="4" name="PivotTable4"/>
  </pivotTables>
  <data>
    <tabular pivotCacheId="1411611598">
      <items count="3">
        <i x="0"/>
        <i x="1" s="1"/>
        <i x="2"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 xr10:uid="{515605FA-38D0-431E-A616-8E7E81A2D3FF}" sourceName="Month">
  <pivotTables>
    <pivotTable tabId="1" name="PivotTable5"/>
  </pivotTables>
  <data>
    <tabular pivotCacheId="131885174">
      <items count="3">
        <i x="0"/>
        <i x="1" s="1"/>
        <i x="2"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2" xr10:uid="{21C758FD-0EBA-46CD-9533-C732F3E6AE81}" cache="Slicer_Month" caption="Month" rowHeight="234950"/>
  <slicer name="Month 4" xr10:uid="{B5C059F9-3609-4BAA-88D9-B8C6F190E665}" cache="Slicer_Month" caption="Month" startItem="1" style="SlicerStyleDark6"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E96BF17C-A8B7-4E94-99EC-1F06AC7FA6AF}" cache="Slicer_Month1" caption="Month"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3" xr10:uid="{A07A7953-057E-402A-91EC-6E45590CFEB4}" cache="Slicer_Month" caption="Month" rowHeight="234950"/>
  <slicer name="Month 5" xr10:uid="{3B02D349-8D93-4A76-BDFC-80F4C5942BE9}" cache="Slicer_Month" caption="Month" style="SlicerStyleDark6" rowHeight="234950"/>
  <slicer name="Month 1" xr10:uid="{E43D3171-640B-495D-94CF-F8F6A98A6095}" cache="Slicer_Month1" caption="Month2" style="SlicerStyleDark6"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9F7D79A-71C5-46F3-8E57-4411664D9F3D}" name="Transaction" displayName="Transaction" ref="A1:H53" totalsRowShown="0" headerRowDxfId="18" dataDxfId="17" tableBorderDxfId="16">
  <autoFilter ref="A1:H53" xr:uid="{59F7D79A-71C5-46F3-8E57-4411664D9F3D}">
    <filterColumn colId="6">
      <customFilters>
        <customFilter operator="notEqual" val=" "/>
      </customFilters>
    </filterColumn>
  </autoFilter>
  <tableColumns count="8">
    <tableColumn id="1" xr3:uid="{88370F42-FAA5-46D8-934B-B7F25F64F70E}" name="S.No" dataDxfId="15"/>
    <tableColumn id="2" xr3:uid="{B82718CB-53EA-437C-A12C-97AFE3E9E7AC}" name="Date" dataDxfId="14"/>
    <tableColumn id="3" xr3:uid="{9BAAC5D1-BF7A-4D82-95AB-473FA0C49B20}" name="Category" dataDxfId="13"/>
    <tableColumn id="4" xr3:uid="{59C6334B-43A5-47FD-8202-568CDD737109}" name="Description" dataDxfId="12"/>
    <tableColumn id="5" xr3:uid="{B3757C03-93E5-481D-A069-104794E5D387}" name="Type" dataDxfId="11"/>
    <tableColumn id="6" xr3:uid="{7D484237-77C5-4C55-9C31-0C25364C8EA3}" name="Amount" dataDxfId="10"/>
    <tableColumn id="7" xr3:uid="{94A7771B-0C86-4FD7-A0CE-D6BF1E4890FF}" name="Month" dataDxfId="9">
      <calculatedColumnFormula>TEXT(Transactions!$B2,"mmm")</calculatedColumnFormula>
    </tableColumn>
    <tableColumn id="8" xr3:uid="{70807C78-F3D5-4AB7-BA70-D223909B4695}" name="Month2" dataDxfId="0">
      <calculatedColumnFormula array="1">G:G</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39EB0E5-85C5-4BBB-8AD8-BD25E83761EF}" name="Table3" displayName="Table3" ref="A1:C12" totalsRowShown="0">
  <autoFilter ref="A1:C12" xr:uid="{A39EB0E5-85C5-4BBB-8AD8-BD25E83761EF}"/>
  <tableColumns count="3">
    <tableColumn id="1" xr3:uid="{DD728D03-FE68-43C3-AAFC-7C6620E99EB6}" name="Category"/>
    <tableColumn id="2" xr3:uid="{D5DB28DC-2ED9-4EB9-ADAB-5A4056EDAB90}" name="Monthly Budget"/>
    <tableColumn id="3" xr3:uid="{A9699F5B-911C-4F2E-8B55-39B991FBFBB6}" name="Annual Budget" dataDxfId="8">
      <calculatedColumnFormula>Table3[[#This Row],[Monthly Budget]]*12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8A85EEF-5CB6-40C4-A14E-78B2B8B4251A}" name="Table4" displayName="Table4" ref="F2:H5" totalsRowShown="0">
  <autoFilter ref="F2:H5" xr:uid="{D8A85EEF-5CB6-40C4-A14E-78B2B8B4251A}"/>
  <tableColumns count="3">
    <tableColumn id="1" xr3:uid="{7180986C-B693-4A1E-95B0-20AB0095512E}" name="Income Source"/>
    <tableColumn id="2" xr3:uid="{4EBEC217-E757-4B5A-A44A-960D0A63FE29}" name="Monthly Amount" dataDxfId="7"/>
    <tableColumn id="3" xr3:uid="{7633C9EB-795F-4427-9BFF-21FBE04D4B5A}" name="Annual Amount" dataDxfId="6">
      <calculatedColumnFormula>Table4[[#This Row],[Monthly Amount]]*12</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6A339C2-82D2-4457-8AAC-F0961572CEC2}" name="Table5" displayName="Table5" ref="K2:M5" totalsRowShown="0">
  <autoFilter ref="K2:M5" xr:uid="{36A339C2-82D2-4457-8AAC-F0961572CEC2}"/>
  <tableColumns count="3">
    <tableColumn id="1" xr3:uid="{006E5E97-5F78-4498-AB5B-F17BDD606373}" name="Metric"/>
    <tableColumn id="2" xr3:uid="{CB9675D4-C146-4CF9-9B9A-BF45FD3D27D8}" name="Monthly" dataDxfId="5"/>
    <tableColumn id="3" xr3:uid="{DC1B61B5-9E4E-4A1E-9E82-AABB0DBF2C57}" name="Annual" dataDxfId="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8" Type="http://schemas.microsoft.com/office/2007/relationships/slicer" Target="../slicers/slicer2.xml"/><Relationship Id="rId3" Type="http://schemas.openxmlformats.org/officeDocument/2006/relationships/pivotTable" Target="../pivotTables/pivotTable9.xml"/><Relationship Id="rId7" Type="http://schemas.openxmlformats.org/officeDocument/2006/relationships/table" Target="../tables/table1.xml"/><Relationship Id="rId2" Type="http://schemas.openxmlformats.org/officeDocument/2006/relationships/pivotTable" Target="../pivotTables/pivotTable8.xml"/><Relationship Id="rId1" Type="http://schemas.openxmlformats.org/officeDocument/2006/relationships/pivotTable" Target="../pivotTables/pivotTable7.xml"/><Relationship Id="rId6" Type="http://schemas.openxmlformats.org/officeDocument/2006/relationships/drawing" Target="../drawings/drawing2.xml"/><Relationship Id="rId5" Type="http://schemas.openxmlformats.org/officeDocument/2006/relationships/pivotTable" Target="../pivotTables/pivotTable11.xml"/><Relationship Id="rId4" Type="http://schemas.openxmlformats.org/officeDocument/2006/relationships/pivotTable" Target="../pivotTables/pivotTable10.xml"/></Relationships>
</file>

<file path=xl/worksheets/_rels/sheet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3777A-E0BA-4800-8BCB-60629A5F4B9A}">
  <sheetPr codeName="Sheet1"/>
  <dimension ref="A1:Q28"/>
  <sheetViews>
    <sheetView showRowColHeaders="0" zoomScaleNormal="100" workbookViewId="0">
      <selection activeCell="N11" sqref="N11"/>
    </sheetView>
  </sheetViews>
  <sheetFormatPr defaultRowHeight="14.4" x14ac:dyDescent="0.3"/>
  <cols>
    <col min="1" max="1" width="12.5546875" bestFit="1" customWidth="1"/>
    <col min="2" max="2" width="14.44140625" bestFit="1" customWidth="1"/>
    <col min="4" max="4" width="12.6640625" bestFit="1" customWidth="1"/>
    <col min="5" max="5" width="14.44140625" bestFit="1" customWidth="1"/>
    <col min="7" max="7" width="12.6640625" bestFit="1" customWidth="1"/>
    <col min="8" max="8" width="14.44140625" bestFit="1" customWidth="1"/>
    <col min="10" max="10" width="14.44140625" bestFit="1" customWidth="1"/>
    <col min="11" max="11" width="15.5546875" bestFit="1" customWidth="1"/>
    <col min="12" max="12" width="7.33203125" bestFit="1" customWidth="1"/>
    <col min="13" max="14" width="10.77734375" bestFit="1" customWidth="1"/>
  </cols>
  <sheetData>
    <row r="1" spans="1:17" x14ac:dyDescent="0.3">
      <c r="A1" s="3" t="s">
        <v>3</v>
      </c>
      <c r="B1" t="s">
        <v>11</v>
      </c>
      <c r="D1" s="3" t="s">
        <v>3</v>
      </c>
      <c r="E1" t="s">
        <v>11</v>
      </c>
      <c r="G1" s="3" t="s">
        <v>3</v>
      </c>
      <c r="H1" t="s">
        <v>11</v>
      </c>
    </row>
    <row r="3" spans="1:17" x14ac:dyDescent="0.3">
      <c r="A3" s="3" t="s">
        <v>78</v>
      </c>
      <c r="B3" t="s">
        <v>80</v>
      </c>
      <c r="D3" s="3" t="s">
        <v>78</v>
      </c>
      <c r="E3" t="s">
        <v>80</v>
      </c>
      <c r="G3" s="3" t="s">
        <v>78</v>
      </c>
      <c r="H3" t="s">
        <v>80</v>
      </c>
    </row>
    <row r="4" spans="1:17" x14ac:dyDescent="0.3">
      <c r="A4" s="4" t="s">
        <v>88</v>
      </c>
      <c r="B4" s="27">
        <v>17951</v>
      </c>
      <c r="D4" s="4" t="s">
        <v>23</v>
      </c>
      <c r="E4" s="27">
        <v>1619</v>
      </c>
      <c r="G4" s="4" t="s">
        <v>23</v>
      </c>
      <c r="H4" s="27">
        <v>1619</v>
      </c>
    </row>
    <row r="5" spans="1:17" x14ac:dyDescent="0.3">
      <c r="A5" s="4" t="s">
        <v>79</v>
      </c>
      <c r="B5" s="27">
        <v>17951</v>
      </c>
      <c r="D5" s="4" t="s">
        <v>17</v>
      </c>
      <c r="E5" s="27">
        <v>1050</v>
      </c>
      <c r="G5" s="4" t="s">
        <v>17</v>
      </c>
      <c r="H5" s="27">
        <v>1050</v>
      </c>
    </row>
    <row r="6" spans="1:17" x14ac:dyDescent="0.3">
      <c r="D6" s="4" t="s">
        <v>9</v>
      </c>
      <c r="E6" s="27">
        <v>3400</v>
      </c>
      <c r="G6" s="4" t="s">
        <v>9</v>
      </c>
      <c r="H6" s="27">
        <v>3400</v>
      </c>
    </row>
    <row r="7" spans="1:17" x14ac:dyDescent="0.3">
      <c r="D7" s="4" t="s">
        <v>21</v>
      </c>
      <c r="E7" s="27">
        <v>1175</v>
      </c>
      <c r="G7" s="4" t="s">
        <v>21</v>
      </c>
      <c r="H7" s="27">
        <v>1175</v>
      </c>
    </row>
    <row r="8" spans="1:17" x14ac:dyDescent="0.3">
      <c r="D8" s="4" t="s">
        <v>19</v>
      </c>
      <c r="E8" s="27">
        <v>4498</v>
      </c>
      <c r="G8" s="4" t="s">
        <v>19</v>
      </c>
      <c r="H8" s="27">
        <v>4498</v>
      </c>
    </row>
    <row r="9" spans="1:17" x14ac:dyDescent="0.3">
      <c r="D9" s="4" t="s">
        <v>12</v>
      </c>
      <c r="E9" s="27">
        <v>1660</v>
      </c>
      <c r="G9" s="4" t="s">
        <v>12</v>
      </c>
      <c r="H9" s="27">
        <v>1660</v>
      </c>
    </row>
    <row r="10" spans="1:17" x14ac:dyDescent="0.3">
      <c r="B10" t="str">
        <f>INDEX(Dashboard!C12:C21,MATCH(MAX(Dashboard!E12:E21),Dashboard!E12:E21,0))</f>
        <v>Shopping</v>
      </c>
      <c r="D10" s="4" t="s">
        <v>15</v>
      </c>
      <c r="E10" s="27">
        <v>1549</v>
      </c>
      <c r="G10" s="4" t="s">
        <v>15</v>
      </c>
      <c r="H10" s="27">
        <v>1549</v>
      </c>
      <c r="Q10">
        <f>COUNTA(Transactions!B:B)-1</f>
        <v>51</v>
      </c>
    </row>
    <row r="11" spans="1:17" x14ac:dyDescent="0.3">
      <c r="B11" t="str">
        <f>INDEX(Dashboard!C12:C21,MATCH(_xlfn.MINIFS(Dashboard!E12:E21,Dashboard!E12:E21,"&gt;0"),Dashboard!E12:E21,0))</f>
        <v>Entertainment</v>
      </c>
      <c r="D11" s="4" t="s">
        <v>58</v>
      </c>
      <c r="E11" s="27">
        <v>3000</v>
      </c>
      <c r="G11" s="4" t="s">
        <v>79</v>
      </c>
      <c r="H11" s="27">
        <v>14951</v>
      </c>
      <c r="Q11">
        <f>SUMIFS(Transactions!F:F,Transactions!E:E,"Expense")/365</f>
        <v>101.8958904109589</v>
      </c>
    </row>
    <row r="12" spans="1:17" x14ac:dyDescent="0.3">
      <c r="B12">
        <f>COUNTIF(Dashboard!$E$12:$E$21,"&gt;0")</f>
        <v>7</v>
      </c>
      <c r="D12" s="4" t="s">
        <v>79</v>
      </c>
      <c r="E12" s="27">
        <v>17951</v>
      </c>
    </row>
    <row r="13" spans="1:17" x14ac:dyDescent="0.3">
      <c r="B13" s="5">
        <f>IF($Q$3="All",
SUMIFS(Transactions!F:F,Transactions!E:E,"Expense")/365,
SUMIFS(Transactions!F:F,Transactions!E:E,"Expense",Transactions!G:G,$Q$3)/30)</f>
        <v>0</v>
      </c>
    </row>
    <row r="14" spans="1:17" x14ac:dyDescent="0.3">
      <c r="B14">
        <f>_xlfn.MAXIFS(Transactions!F:F,Transactions!E:E,"Expense")</f>
        <v>3000</v>
      </c>
      <c r="D14" s="3" t="s">
        <v>5</v>
      </c>
      <c r="E14" t="s">
        <v>88</v>
      </c>
      <c r="G14" s="3" t="s">
        <v>5</v>
      </c>
      <c r="H14" t="s">
        <v>88</v>
      </c>
      <c r="J14" s="3" t="s">
        <v>5</v>
      </c>
      <c r="K14" t="s">
        <v>88</v>
      </c>
    </row>
    <row r="16" spans="1:17" x14ac:dyDescent="0.3">
      <c r="D16" s="3" t="s">
        <v>78</v>
      </c>
      <c r="E16" t="s">
        <v>80</v>
      </c>
      <c r="G16" s="3" t="s">
        <v>78</v>
      </c>
      <c r="H16" t="s">
        <v>80</v>
      </c>
      <c r="J16" s="3" t="s">
        <v>80</v>
      </c>
      <c r="K16" s="3" t="s">
        <v>82</v>
      </c>
    </row>
    <row r="17" spans="4:13" x14ac:dyDescent="0.3">
      <c r="D17" s="4" t="s">
        <v>23</v>
      </c>
      <c r="E17" s="27">
        <v>1619</v>
      </c>
      <c r="G17" s="4" t="s">
        <v>23</v>
      </c>
      <c r="H17" s="27">
        <v>1619</v>
      </c>
      <c r="J17" s="3" t="s">
        <v>78</v>
      </c>
      <c r="K17" t="s">
        <v>11</v>
      </c>
      <c r="L17" t="s">
        <v>8</v>
      </c>
      <c r="M17" t="s">
        <v>79</v>
      </c>
    </row>
    <row r="18" spans="4:13" x14ac:dyDescent="0.3">
      <c r="D18" s="4" t="s">
        <v>17</v>
      </c>
      <c r="E18" s="27">
        <v>1050</v>
      </c>
      <c r="G18" s="4" t="s">
        <v>17</v>
      </c>
      <c r="H18" s="27">
        <v>1050</v>
      </c>
      <c r="J18" s="4" t="s">
        <v>23</v>
      </c>
      <c r="K18" s="27">
        <v>1619</v>
      </c>
      <c r="L18" s="27"/>
      <c r="M18" s="27">
        <v>1619</v>
      </c>
    </row>
    <row r="19" spans="4:13" x14ac:dyDescent="0.3">
      <c r="D19" s="4" t="s">
        <v>9</v>
      </c>
      <c r="E19" s="27">
        <v>3400</v>
      </c>
      <c r="G19" s="4" t="s">
        <v>9</v>
      </c>
      <c r="H19" s="27">
        <v>3400</v>
      </c>
      <c r="J19" s="4" t="s">
        <v>17</v>
      </c>
      <c r="K19" s="27">
        <v>1050</v>
      </c>
      <c r="L19" s="27"/>
      <c r="M19" s="27">
        <v>1050</v>
      </c>
    </row>
    <row r="20" spans="4:13" x14ac:dyDescent="0.3">
      <c r="D20" s="4" t="s">
        <v>25</v>
      </c>
      <c r="E20" s="27">
        <v>4500</v>
      </c>
      <c r="G20" s="4" t="s">
        <v>21</v>
      </c>
      <c r="H20" s="27">
        <v>1175</v>
      </c>
      <c r="J20" s="4" t="s">
        <v>9</v>
      </c>
      <c r="K20" s="27">
        <v>3400</v>
      </c>
      <c r="L20" s="27"/>
      <c r="M20" s="27">
        <v>3400</v>
      </c>
    </row>
    <row r="21" spans="4:13" x14ac:dyDescent="0.3">
      <c r="D21" s="4" t="s">
        <v>21</v>
      </c>
      <c r="E21" s="27">
        <v>1175</v>
      </c>
      <c r="G21" s="4" t="s">
        <v>19</v>
      </c>
      <c r="H21" s="27">
        <v>4498</v>
      </c>
      <c r="J21" s="4" t="s">
        <v>25</v>
      </c>
      <c r="K21" s="27"/>
      <c r="L21" s="27">
        <v>4500</v>
      </c>
      <c r="M21" s="27">
        <v>4500</v>
      </c>
    </row>
    <row r="22" spans="4:13" x14ac:dyDescent="0.3">
      <c r="D22" s="4" t="s">
        <v>6</v>
      </c>
      <c r="E22" s="27">
        <v>35000</v>
      </c>
      <c r="G22" s="4" t="s">
        <v>12</v>
      </c>
      <c r="H22" s="27">
        <v>1660</v>
      </c>
      <c r="J22" s="4" t="s">
        <v>21</v>
      </c>
      <c r="K22" s="27">
        <v>1175</v>
      </c>
      <c r="L22" s="27"/>
      <c r="M22" s="27">
        <v>1175</v>
      </c>
    </row>
    <row r="23" spans="4:13" x14ac:dyDescent="0.3">
      <c r="D23" s="4" t="s">
        <v>19</v>
      </c>
      <c r="E23" s="27">
        <v>4498</v>
      </c>
      <c r="G23" s="4" t="s">
        <v>15</v>
      </c>
      <c r="H23" s="27">
        <v>1549</v>
      </c>
      <c r="J23" s="4" t="s">
        <v>6</v>
      </c>
      <c r="K23" s="27"/>
      <c r="L23" s="27">
        <v>35000</v>
      </c>
      <c r="M23" s="27">
        <v>35000</v>
      </c>
    </row>
    <row r="24" spans="4:13" x14ac:dyDescent="0.3">
      <c r="D24" s="4" t="s">
        <v>12</v>
      </c>
      <c r="E24" s="27">
        <v>1660</v>
      </c>
      <c r="G24" s="4" t="s">
        <v>58</v>
      </c>
      <c r="H24" s="27">
        <v>3000</v>
      </c>
      <c r="J24" s="4" t="s">
        <v>19</v>
      </c>
      <c r="K24" s="27">
        <v>4498</v>
      </c>
      <c r="L24" s="27"/>
      <c r="M24" s="27">
        <v>4498</v>
      </c>
    </row>
    <row r="25" spans="4:13" x14ac:dyDescent="0.3">
      <c r="D25" s="4" t="s">
        <v>15</v>
      </c>
      <c r="E25" s="27">
        <v>1549</v>
      </c>
      <c r="G25" s="4" t="s">
        <v>79</v>
      </c>
      <c r="H25" s="27">
        <v>17951</v>
      </c>
      <c r="J25" s="4" t="s">
        <v>12</v>
      </c>
      <c r="K25" s="27">
        <v>1660</v>
      </c>
      <c r="L25" s="27"/>
      <c r="M25" s="27">
        <v>1660</v>
      </c>
    </row>
    <row r="26" spans="4:13" x14ac:dyDescent="0.3">
      <c r="D26" s="4" t="s">
        <v>58</v>
      </c>
      <c r="E26" s="27">
        <v>3000</v>
      </c>
      <c r="J26" s="4" t="s">
        <v>15</v>
      </c>
      <c r="K26" s="27">
        <v>1549</v>
      </c>
      <c r="L26" s="27"/>
      <c r="M26" s="27">
        <v>1549</v>
      </c>
    </row>
    <row r="27" spans="4:13" x14ac:dyDescent="0.3">
      <c r="D27" s="4" t="s">
        <v>79</v>
      </c>
      <c r="E27" s="27">
        <v>57451</v>
      </c>
      <c r="J27" s="4" t="s">
        <v>58</v>
      </c>
      <c r="K27" s="27">
        <v>3000</v>
      </c>
      <c r="L27" s="27"/>
      <c r="M27" s="27">
        <v>3000</v>
      </c>
    </row>
    <row r="28" spans="4:13" x14ac:dyDescent="0.3">
      <c r="J28" s="4" t="s">
        <v>79</v>
      </c>
      <c r="K28" s="27">
        <v>17951</v>
      </c>
      <c r="L28" s="27">
        <v>39500</v>
      </c>
      <c r="M28" s="27">
        <v>57451</v>
      </c>
    </row>
  </sheetData>
  <pageMargins left="0.7" right="0.7" top="0.75" bottom="0.75" header="0.3" footer="0.3"/>
  <drawing r:id="rId7"/>
  <extLst>
    <ext xmlns:x14="http://schemas.microsoft.com/office/spreadsheetml/2009/9/main" uri="{A8765BA9-456A-4dab-B4F3-ACF838C121DE}">
      <x14:slicerList>
        <x14:slicer r:id="rId8"/>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0CE47-126E-488A-A615-E1E3943E26D8}">
  <sheetPr codeName="Sheet2"/>
  <dimension ref="A1:U53"/>
  <sheetViews>
    <sheetView topLeftCell="H1" zoomScale="96" zoomScaleNormal="100" workbookViewId="0">
      <selection activeCell="T17" sqref="T17"/>
    </sheetView>
  </sheetViews>
  <sheetFormatPr defaultRowHeight="14.4" x14ac:dyDescent="0.3"/>
  <cols>
    <col min="2" max="2" width="10.88671875" bestFit="1" customWidth="1"/>
    <col min="3" max="3" width="12.6640625" bestFit="1" customWidth="1"/>
    <col min="4" max="4" width="19.5546875" bestFit="1" customWidth="1"/>
    <col min="6" max="6" width="10.44140625" style="6" bestFit="1" customWidth="1"/>
    <col min="7" max="7" width="9" bestFit="1" customWidth="1"/>
    <col min="8" max="8" width="10.44140625" bestFit="1" customWidth="1"/>
    <col min="11" max="11" width="13.109375" bestFit="1" customWidth="1"/>
    <col min="12" max="12" width="15" bestFit="1" customWidth="1"/>
    <col min="15" max="15" width="6.44140625" bestFit="1" customWidth="1"/>
    <col min="16" max="16" width="18.44140625" bestFit="1" customWidth="1"/>
    <col min="17" max="17" width="10.33203125" bestFit="1" customWidth="1"/>
    <col min="18" max="18" width="8.33203125" customWidth="1"/>
    <col min="19" max="19" width="7.33203125" bestFit="1" customWidth="1"/>
    <col min="20" max="20" width="11.21875" bestFit="1" customWidth="1"/>
    <col min="21" max="21" width="14.88671875" bestFit="1" customWidth="1"/>
  </cols>
  <sheetData>
    <row r="1" spans="1:18" x14ac:dyDescent="0.3">
      <c r="A1" s="16" t="s">
        <v>81</v>
      </c>
      <c r="B1" s="17" t="s">
        <v>0</v>
      </c>
      <c r="C1" s="18" t="s">
        <v>1</v>
      </c>
      <c r="D1" s="18" t="s">
        <v>2</v>
      </c>
      <c r="E1" s="18" t="s">
        <v>3</v>
      </c>
      <c r="F1" s="19" t="s">
        <v>4</v>
      </c>
      <c r="G1" s="18" t="s">
        <v>5</v>
      </c>
      <c r="H1" s="18" t="s">
        <v>89</v>
      </c>
    </row>
    <row r="2" spans="1:18" x14ac:dyDescent="0.3">
      <c r="A2" s="11">
        <v>1</v>
      </c>
      <c r="B2" s="8">
        <v>46023</v>
      </c>
      <c r="C2" s="9" t="s">
        <v>6</v>
      </c>
      <c r="D2" s="9" t="s">
        <v>7</v>
      </c>
      <c r="E2" s="9" t="s">
        <v>8</v>
      </c>
      <c r="F2" s="10">
        <v>35000</v>
      </c>
      <c r="G2" s="9" t="str">
        <f>TEXT(Transactions!$B2,"mmm")</f>
        <v>Jan</v>
      </c>
      <c r="H2" s="28" t="str">
        <f>Transaction[[#This Row],[Month]]</f>
        <v>Jan</v>
      </c>
    </row>
    <row r="3" spans="1:18" x14ac:dyDescent="0.3">
      <c r="A3" s="15">
        <v>2</v>
      </c>
      <c r="B3" s="12">
        <v>46024</v>
      </c>
      <c r="C3" s="13" t="s">
        <v>9</v>
      </c>
      <c r="D3" s="13" t="s">
        <v>10</v>
      </c>
      <c r="E3" s="13" t="s">
        <v>11</v>
      </c>
      <c r="F3" s="14">
        <v>60</v>
      </c>
      <c r="G3" s="13" t="str">
        <f>TEXT(Transactions!$B3,"mmm")</f>
        <v>Jan</v>
      </c>
      <c r="H3" s="28" t="str">
        <f>Transaction[[#This Row],[Month]]</f>
        <v>Jan</v>
      </c>
    </row>
    <row r="4" spans="1:18" x14ac:dyDescent="0.3">
      <c r="A4" s="11">
        <v>3</v>
      </c>
      <c r="B4" s="8">
        <v>46024</v>
      </c>
      <c r="C4" s="9" t="s">
        <v>12</v>
      </c>
      <c r="D4" s="9" t="s">
        <v>13</v>
      </c>
      <c r="E4" s="9" t="s">
        <v>11</v>
      </c>
      <c r="F4" s="10">
        <v>30</v>
      </c>
      <c r="G4" s="9" t="str">
        <f>TEXT(Transactions!$B4,"mmm")</f>
        <v>Jan</v>
      </c>
      <c r="H4" s="28" t="str">
        <f>Transaction[[#This Row],[Month]]</f>
        <v>Jan</v>
      </c>
    </row>
    <row r="5" spans="1:18" x14ac:dyDescent="0.3">
      <c r="A5" s="15">
        <v>4</v>
      </c>
      <c r="B5" s="12">
        <v>46025</v>
      </c>
      <c r="C5" s="13" t="s">
        <v>9</v>
      </c>
      <c r="D5" s="13" t="s">
        <v>14</v>
      </c>
      <c r="E5" s="13" t="s">
        <v>11</v>
      </c>
      <c r="F5" s="14">
        <v>120</v>
      </c>
      <c r="G5" s="13" t="str">
        <f>TEXT(Transactions!$B5,"mmm")</f>
        <v>Jan</v>
      </c>
      <c r="H5" s="28" t="str">
        <f>Transaction[[#This Row],[Month]]</f>
        <v>Jan</v>
      </c>
      <c r="K5" s="3" t="s">
        <v>3</v>
      </c>
      <c r="L5" t="s">
        <v>8</v>
      </c>
      <c r="M5" s="6">
        <f>GETPIVOTDATA("Amount",$K$7)</f>
        <v>39500</v>
      </c>
    </row>
    <row r="6" spans="1:18" x14ac:dyDescent="0.3">
      <c r="A6" s="11">
        <v>5</v>
      </c>
      <c r="B6" s="8">
        <v>46025</v>
      </c>
      <c r="C6" s="9" t="s">
        <v>15</v>
      </c>
      <c r="D6" s="9" t="s">
        <v>16</v>
      </c>
      <c r="E6" s="9" t="s">
        <v>11</v>
      </c>
      <c r="F6" s="10">
        <v>249</v>
      </c>
      <c r="G6" s="9" t="str">
        <f>TEXT(Transactions!$B6,"mmm")</f>
        <v>Jan</v>
      </c>
      <c r="H6" s="28" t="str">
        <f>Transaction[[#This Row],[Month]]</f>
        <v>Jan</v>
      </c>
    </row>
    <row r="7" spans="1:18" x14ac:dyDescent="0.3">
      <c r="A7" s="15">
        <v>6</v>
      </c>
      <c r="B7" s="12">
        <v>46026</v>
      </c>
      <c r="C7" s="13" t="s">
        <v>17</v>
      </c>
      <c r="D7" s="13" t="s">
        <v>18</v>
      </c>
      <c r="E7" s="13" t="s">
        <v>11</v>
      </c>
      <c r="F7" s="14">
        <v>180</v>
      </c>
      <c r="G7" s="13" t="str">
        <f>TEXT(Transactions!$B7,"mmm")</f>
        <v>Jan</v>
      </c>
      <c r="H7" s="28" t="str">
        <f>Transaction[[#This Row],[Month]]</f>
        <v>Jan</v>
      </c>
      <c r="K7" t="s">
        <v>80</v>
      </c>
    </row>
    <row r="8" spans="1:18" x14ac:dyDescent="0.3">
      <c r="A8" s="11">
        <v>7</v>
      </c>
      <c r="B8" s="8">
        <v>46027</v>
      </c>
      <c r="C8" s="9" t="s">
        <v>19</v>
      </c>
      <c r="D8" s="9" t="s">
        <v>20</v>
      </c>
      <c r="E8" s="9" t="s">
        <v>11</v>
      </c>
      <c r="F8" s="10">
        <v>799</v>
      </c>
      <c r="G8" s="9" t="str">
        <f>TEXT(Transactions!$B8,"mmm")</f>
        <v>Jan</v>
      </c>
      <c r="H8" s="28" t="str">
        <f>Transaction[[#This Row],[Month]]</f>
        <v>Jan</v>
      </c>
      <c r="K8" s="27">
        <v>39500</v>
      </c>
      <c r="R8">
        <f>GETPIVOTDATA("Month",$P$7)</f>
        <v>0</v>
      </c>
    </row>
    <row r="9" spans="1:18" x14ac:dyDescent="0.3">
      <c r="A9" s="15">
        <v>8</v>
      </c>
      <c r="B9" s="12">
        <v>46028</v>
      </c>
      <c r="C9" s="13" t="s">
        <v>21</v>
      </c>
      <c r="D9" s="13" t="s">
        <v>22</v>
      </c>
      <c r="E9" s="13" t="s">
        <v>11</v>
      </c>
      <c r="F9" s="14">
        <v>320</v>
      </c>
      <c r="G9" s="13" t="str">
        <f>TEXT(Transactions!$B9,"mmm")</f>
        <v>Jan</v>
      </c>
      <c r="H9" s="28" t="str">
        <f>Transaction[[#This Row],[Month]]</f>
        <v>Jan</v>
      </c>
    </row>
    <row r="10" spans="1:18" x14ac:dyDescent="0.3">
      <c r="A10" s="11">
        <v>9</v>
      </c>
      <c r="B10" s="8">
        <v>46029</v>
      </c>
      <c r="C10" s="9" t="s">
        <v>23</v>
      </c>
      <c r="D10" s="9" t="s">
        <v>24</v>
      </c>
      <c r="E10" s="9" t="s">
        <v>11</v>
      </c>
      <c r="F10" s="10">
        <v>999</v>
      </c>
      <c r="G10" s="9" t="str">
        <f>TEXT(Transactions!$B10,"mmm")</f>
        <v>Jan</v>
      </c>
      <c r="H10" s="28" t="str">
        <f>Transaction[[#This Row],[Month]]</f>
        <v>Jan</v>
      </c>
      <c r="K10" s="3" t="s">
        <v>78</v>
      </c>
      <c r="L10" t="s">
        <v>80</v>
      </c>
      <c r="M10" s="6">
        <f>GETPIVOTDATA("Amount",$K$10)</f>
        <v>17951</v>
      </c>
    </row>
    <row r="11" spans="1:18" x14ac:dyDescent="0.3">
      <c r="A11" s="15">
        <v>10</v>
      </c>
      <c r="B11" s="12">
        <v>46032</v>
      </c>
      <c r="C11" s="13" t="s">
        <v>25</v>
      </c>
      <c r="D11" s="13" t="s">
        <v>26</v>
      </c>
      <c r="E11" s="13" t="s">
        <v>8</v>
      </c>
      <c r="F11" s="14">
        <v>5000</v>
      </c>
      <c r="G11" s="13" t="str">
        <f>TEXT(Transactions!$B11,"mmm")</f>
        <v>Jan</v>
      </c>
      <c r="H11" s="28" t="str">
        <f>Transaction[[#This Row],[Month]]</f>
        <v>Jan</v>
      </c>
      <c r="K11" s="4" t="s">
        <v>11</v>
      </c>
      <c r="L11" s="27">
        <v>17951</v>
      </c>
    </row>
    <row r="12" spans="1:18" x14ac:dyDescent="0.3">
      <c r="A12" s="11">
        <v>11</v>
      </c>
      <c r="B12" s="8">
        <v>46033</v>
      </c>
      <c r="C12" s="9" t="s">
        <v>9</v>
      </c>
      <c r="D12" s="9" t="s">
        <v>27</v>
      </c>
      <c r="E12" s="9" t="s">
        <v>11</v>
      </c>
      <c r="F12" s="10">
        <v>180</v>
      </c>
      <c r="G12" s="9" t="str">
        <f>TEXT(Transactions!$B12,"mmm")</f>
        <v>Jan</v>
      </c>
      <c r="H12" s="28" t="str">
        <f>Transaction[[#This Row],[Month]]</f>
        <v>Jan</v>
      </c>
      <c r="K12" s="4" t="s">
        <v>79</v>
      </c>
      <c r="L12" s="27">
        <v>17951</v>
      </c>
      <c r="P12" s="3" t="s">
        <v>3</v>
      </c>
      <c r="Q12" t="s">
        <v>11</v>
      </c>
    </row>
    <row r="13" spans="1:18" x14ac:dyDescent="0.3">
      <c r="A13" s="15">
        <v>12</v>
      </c>
      <c r="B13" s="12">
        <v>46034</v>
      </c>
      <c r="C13" s="13" t="s">
        <v>12</v>
      </c>
      <c r="D13" s="13" t="s">
        <v>28</v>
      </c>
      <c r="E13" s="13" t="s">
        <v>11</v>
      </c>
      <c r="F13" s="14">
        <v>150</v>
      </c>
      <c r="G13" s="13" t="str">
        <f>TEXT(Transactions!$B13,"mmm")</f>
        <v>Jan</v>
      </c>
      <c r="H13" s="28" t="str">
        <f>Transaction[[#This Row],[Month]]</f>
        <v>Jan</v>
      </c>
    </row>
    <row r="14" spans="1:18" x14ac:dyDescent="0.3">
      <c r="A14" s="11">
        <v>13</v>
      </c>
      <c r="B14" s="8">
        <v>46035</v>
      </c>
      <c r="C14" s="9" t="s">
        <v>19</v>
      </c>
      <c r="D14" s="9" t="s">
        <v>29</v>
      </c>
      <c r="E14" s="9" t="s">
        <v>11</v>
      </c>
      <c r="F14" s="10">
        <v>2499</v>
      </c>
      <c r="G14" s="9" t="str">
        <f>TEXT(Transactions!$B14,"mmm")</f>
        <v>Jan</v>
      </c>
      <c r="H14" s="28" t="str">
        <f>Transaction[[#This Row],[Month]]</f>
        <v>Jan</v>
      </c>
      <c r="K14" t="s">
        <v>83</v>
      </c>
      <c r="L14" s="6">
        <f>M5-M10</f>
        <v>21549</v>
      </c>
      <c r="P14" t="s">
        <v>85</v>
      </c>
    </row>
    <row r="15" spans="1:18" x14ac:dyDescent="0.3">
      <c r="A15" s="15">
        <v>14</v>
      </c>
      <c r="B15" s="12">
        <v>46036</v>
      </c>
      <c r="C15" s="13" t="s">
        <v>9</v>
      </c>
      <c r="D15" s="13" t="s">
        <v>30</v>
      </c>
      <c r="E15" s="13" t="s">
        <v>11</v>
      </c>
      <c r="F15" s="14">
        <v>50</v>
      </c>
      <c r="G15" s="13" t="str">
        <f>TEXT(Transactions!$B15,"mmm")</f>
        <v>Jan</v>
      </c>
      <c r="H15" s="28" t="str">
        <f>Transaction[[#This Row],[Month]]</f>
        <v>Jan</v>
      </c>
      <c r="K15" t="s">
        <v>84</v>
      </c>
      <c r="L15" s="2">
        <f>L14/M5</f>
        <v>0.54554430379746832</v>
      </c>
      <c r="P15" s="27">
        <v>944.78947368421052</v>
      </c>
      <c r="Q15" s="20">
        <f>GETPIVOTDATA("Amount",$P$14)</f>
        <v>944.78947368421052</v>
      </c>
    </row>
    <row r="16" spans="1:18" x14ac:dyDescent="0.3">
      <c r="A16" s="11">
        <v>15</v>
      </c>
      <c r="B16" s="8">
        <v>46037</v>
      </c>
      <c r="C16" s="9" t="s">
        <v>15</v>
      </c>
      <c r="D16" s="9" t="s">
        <v>31</v>
      </c>
      <c r="E16" s="9" t="s">
        <v>11</v>
      </c>
      <c r="F16" s="10">
        <v>1200</v>
      </c>
      <c r="G16" s="9" t="str">
        <f>TEXT(Transactions!$B16,"mmm")</f>
        <v>Jan</v>
      </c>
      <c r="H16" s="28" t="str">
        <f>Transaction[[#This Row],[Month]]</f>
        <v>Jan</v>
      </c>
    </row>
    <row r="17" spans="1:21" x14ac:dyDescent="0.3">
      <c r="A17" s="15">
        <v>16</v>
      </c>
      <c r="B17" s="12">
        <v>46038</v>
      </c>
      <c r="C17" s="13" t="s">
        <v>17</v>
      </c>
      <c r="D17" s="13" t="s">
        <v>32</v>
      </c>
      <c r="E17" s="13" t="s">
        <v>11</v>
      </c>
      <c r="F17" s="14">
        <v>499</v>
      </c>
      <c r="G17" s="13" t="str">
        <f>TEXT(Transactions!$B17,"mmm")</f>
        <v>Jan</v>
      </c>
      <c r="H17" s="28" t="str">
        <f>Transaction[[#This Row],[Month]]</f>
        <v>Jan</v>
      </c>
      <c r="P17" s="3" t="s">
        <v>5</v>
      </c>
      <c r="Q17" t="s">
        <v>88</v>
      </c>
    </row>
    <row r="18" spans="1:21" x14ac:dyDescent="0.3">
      <c r="A18" s="11">
        <v>17</v>
      </c>
      <c r="B18" s="8">
        <v>46039</v>
      </c>
      <c r="C18" s="9" t="s">
        <v>21</v>
      </c>
      <c r="D18" s="9" t="s">
        <v>33</v>
      </c>
      <c r="E18" s="9" t="s">
        <v>11</v>
      </c>
      <c r="F18" s="10">
        <v>700</v>
      </c>
      <c r="G18" s="9" t="str">
        <f>TEXT(Transactions!$B18,"mmm")</f>
        <v>Jan</v>
      </c>
      <c r="H18" s="28" t="str">
        <f>Transaction[[#This Row],[Month]]</f>
        <v>Jan</v>
      </c>
    </row>
    <row r="19" spans="1:21" x14ac:dyDescent="0.3">
      <c r="A19" s="15">
        <v>18</v>
      </c>
      <c r="B19" s="12">
        <v>46040</v>
      </c>
      <c r="C19" s="13" t="s">
        <v>23</v>
      </c>
      <c r="D19" s="13" t="s">
        <v>34</v>
      </c>
      <c r="E19" s="13" t="s">
        <v>11</v>
      </c>
      <c r="F19" s="14">
        <v>650</v>
      </c>
      <c r="G19" s="13" t="str">
        <f>TEXT(Transactions!$B19,"mmm")</f>
        <v>Jan</v>
      </c>
      <c r="H19" s="28" t="str">
        <f>Transaction[[#This Row],[Month]]</f>
        <v>Jan</v>
      </c>
      <c r="K19" s="3" t="s">
        <v>3</v>
      </c>
      <c r="L19" t="s">
        <v>11</v>
      </c>
      <c r="P19" s="3" t="s">
        <v>78</v>
      </c>
      <c r="Q19" t="s">
        <v>90</v>
      </c>
    </row>
    <row r="20" spans="1:21" x14ac:dyDescent="0.3">
      <c r="A20" s="11">
        <v>19</v>
      </c>
      <c r="B20" s="8">
        <v>46042</v>
      </c>
      <c r="C20" s="9" t="s">
        <v>9</v>
      </c>
      <c r="D20" s="9" t="s">
        <v>35</v>
      </c>
      <c r="E20" s="9" t="s">
        <v>11</v>
      </c>
      <c r="F20" s="10">
        <v>1850</v>
      </c>
      <c r="G20" s="9" t="str">
        <f>TEXT(Transactions!$B20,"mmm")</f>
        <v>Jan</v>
      </c>
      <c r="H20" s="28" t="str">
        <f>Transaction[[#This Row],[Month]]</f>
        <v>Jan</v>
      </c>
      <c r="P20" s="4" t="s">
        <v>88</v>
      </c>
      <c r="Q20" s="27">
        <v>21</v>
      </c>
      <c r="S20" cm="1">
        <f t="array" ref="S20">COUNTA(_xlfn.UNIQUE(_xlfn._xlws.FILTER(G2:G100,G2:G100&lt;&gt;"")))</f>
        <v>2</v>
      </c>
    </row>
    <row r="21" spans="1:21" x14ac:dyDescent="0.3">
      <c r="A21" s="15">
        <v>20</v>
      </c>
      <c r="B21" s="12">
        <v>46043</v>
      </c>
      <c r="C21" s="13" t="s">
        <v>12</v>
      </c>
      <c r="D21" s="13" t="s">
        <v>36</v>
      </c>
      <c r="E21" s="13" t="s">
        <v>11</v>
      </c>
      <c r="F21" s="14">
        <v>1000</v>
      </c>
      <c r="G21" s="13" t="str">
        <f>TEXT(Transactions!$B21,"mmm")</f>
        <v>Jan</v>
      </c>
      <c r="H21" s="28" t="str">
        <f>Transaction[[#This Row],[Month]]</f>
        <v>Jan</v>
      </c>
      <c r="K21" t="s">
        <v>86</v>
      </c>
      <c r="P21" s="4" t="s">
        <v>79</v>
      </c>
      <c r="Q21" s="27">
        <v>21</v>
      </c>
      <c r="S21">
        <f>COUNTA(P20:P24)-1</f>
        <v>1</v>
      </c>
      <c r="U21" cm="1">
        <f t="array" ref="U21">IF(P19="(All)",COUNTA(_xlfn.UNIQUE(_xlfn._xlws.FILTER(G:G,G:G&lt;&gt;""))),1)</f>
        <v>1</v>
      </c>
    </row>
    <row r="22" spans="1:21" x14ac:dyDescent="0.3">
      <c r="A22" s="11">
        <v>21</v>
      </c>
      <c r="B22" s="8">
        <v>46044</v>
      </c>
      <c r="C22" s="9" t="s">
        <v>19</v>
      </c>
      <c r="D22" s="9" t="s">
        <v>37</v>
      </c>
      <c r="E22" s="9" t="s">
        <v>11</v>
      </c>
      <c r="F22" s="10">
        <v>1499</v>
      </c>
      <c r="G22" s="9" t="str">
        <f>TEXT(Transactions!$B22,"mmm")</f>
        <v>Jan</v>
      </c>
      <c r="H22" s="28" t="str">
        <f>Transaction[[#This Row],[Month]]</f>
        <v>Jan</v>
      </c>
      <c r="K22" s="27">
        <v>3000</v>
      </c>
      <c r="L22" s="6">
        <f>GETPIVOTDATA("Amount",$K$21)</f>
        <v>3000</v>
      </c>
    </row>
    <row r="23" spans="1:21" x14ac:dyDescent="0.3">
      <c r="A23" s="15">
        <v>22</v>
      </c>
      <c r="B23" s="12">
        <v>46045</v>
      </c>
      <c r="C23" s="13" t="s">
        <v>17</v>
      </c>
      <c r="D23" s="13" t="s">
        <v>38</v>
      </c>
      <c r="E23" s="13" t="s">
        <v>11</v>
      </c>
      <c r="F23" s="14">
        <v>299</v>
      </c>
      <c r="G23" s="13" t="str">
        <f>TEXT(Transactions!$B23,"mmm")</f>
        <v>Jan</v>
      </c>
      <c r="H23" s="28" t="str">
        <f>Transaction[[#This Row],[Month]]</f>
        <v>Jan</v>
      </c>
    </row>
    <row r="24" spans="1:21" x14ac:dyDescent="0.3">
      <c r="A24" s="11">
        <v>23</v>
      </c>
      <c r="B24" s="8">
        <v>46046</v>
      </c>
      <c r="C24" s="9" t="s">
        <v>9</v>
      </c>
      <c r="D24" s="9" t="s">
        <v>39</v>
      </c>
      <c r="E24" s="9" t="s">
        <v>11</v>
      </c>
      <c r="F24" s="10">
        <v>90</v>
      </c>
      <c r="G24" s="9" t="str">
        <f>TEXT(Transactions!$B24,"mmm")</f>
        <v>Jan</v>
      </c>
      <c r="H24" s="28" t="str">
        <f>Transaction[[#This Row],[Month]]</f>
        <v>Jan</v>
      </c>
    </row>
    <row r="25" spans="1:21" x14ac:dyDescent="0.3">
      <c r="A25" s="15">
        <v>24</v>
      </c>
      <c r="B25" s="12">
        <v>46047</v>
      </c>
      <c r="C25" s="13" t="s">
        <v>15</v>
      </c>
      <c r="D25" s="13" t="s">
        <v>40</v>
      </c>
      <c r="E25" s="13" t="s">
        <v>11</v>
      </c>
      <c r="F25" s="14">
        <v>799</v>
      </c>
      <c r="G25" s="13" t="str">
        <f>TEXT(Transactions!$B25,"mmm")</f>
        <v>Jan</v>
      </c>
      <c r="H25" s="28" t="str">
        <f>Transaction[[#This Row],[Month]]</f>
        <v>Jan</v>
      </c>
    </row>
    <row r="26" spans="1:21" x14ac:dyDescent="0.3">
      <c r="A26" s="11">
        <v>25</v>
      </c>
      <c r="B26" s="8">
        <v>46048</v>
      </c>
      <c r="C26" s="9" t="s">
        <v>21</v>
      </c>
      <c r="D26" s="9" t="s">
        <v>41</v>
      </c>
      <c r="E26" s="9" t="s">
        <v>11</v>
      </c>
      <c r="F26" s="10">
        <v>450</v>
      </c>
      <c r="G26" s="9" t="str">
        <f>TEXT(Transactions!$B26,"mmm")</f>
        <v>Jan</v>
      </c>
      <c r="H26" s="28" t="str">
        <f>Transaction[[#This Row],[Month]]</f>
        <v>Jan</v>
      </c>
    </row>
    <row r="27" spans="1:21" x14ac:dyDescent="0.3">
      <c r="A27" s="15">
        <v>26</v>
      </c>
      <c r="B27" s="12">
        <v>46049</v>
      </c>
      <c r="C27" s="13" t="s">
        <v>23</v>
      </c>
      <c r="D27" s="13" t="s">
        <v>42</v>
      </c>
      <c r="E27" s="13" t="s">
        <v>11</v>
      </c>
      <c r="F27" s="14">
        <v>1500</v>
      </c>
      <c r="G27" s="13" t="str">
        <f>TEXT(Transactions!$B27,"mmm")</f>
        <v>Jan</v>
      </c>
      <c r="H27" s="28" t="str">
        <f>Transaction[[#This Row],[Month]]</f>
        <v>Jan</v>
      </c>
    </row>
    <row r="28" spans="1:21" x14ac:dyDescent="0.3">
      <c r="A28" s="11">
        <v>27</v>
      </c>
      <c r="B28" s="8">
        <v>46050</v>
      </c>
      <c r="C28" s="9" t="s">
        <v>9</v>
      </c>
      <c r="D28" s="9" t="s">
        <v>27</v>
      </c>
      <c r="E28" s="9" t="s">
        <v>11</v>
      </c>
      <c r="F28" s="10">
        <v>220</v>
      </c>
      <c r="G28" s="9" t="str">
        <f>TEXT(Transactions!$B28,"mmm")</f>
        <v>Jan</v>
      </c>
      <c r="H28" s="28" t="str">
        <f>Transaction[[#This Row],[Month]]</f>
        <v>Jan</v>
      </c>
    </row>
    <row r="29" spans="1:21" x14ac:dyDescent="0.3">
      <c r="A29" s="15">
        <v>28</v>
      </c>
      <c r="B29" s="12">
        <v>46051</v>
      </c>
      <c r="C29" s="13" t="s">
        <v>12</v>
      </c>
      <c r="D29" s="13" t="s">
        <v>43</v>
      </c>
      <c r="E29" s="13" t="s">
        <v>11</v>
      </c>
      <c r="F29" s="14">
        <v>350</v>
      </c>
      <c r="G29" s="13" t="str">
        <f>TEXT(Transactions!$B29,"mmm")</f>
        <v>Jan</v>
      </c>
      <c r="H29" s="28" t="str">
        <f>Transaction[[#This Row],[Month]]</f>
        <v>Jan</v>
      </c>
    </row>
    <row r="30" spans="1:21" x14ac:dyDescent="0.3">
      <c r="A30" s="11">
        <v>29</v>
      </c>
      <c r="B30" s="8">
        <v>46052</v>
      </c>
      <c r="C30" s="9" t="s">
        <v>19</v>
      </c>
      <c r="D30" s="9" t="s">
        <v>44</v>
      </c>
      <c r="E30" s="9" t="s">
        <v>11</v>
      </c>
      <c r="F30" s="10">
        <v>1299</v>
      </c>
      <c r="G30" s="9" t="str">
        <f>TEXT(Transactions!$B30,"mmm")</f>
        <v>Jan</v>
      </c>
      <c r="H30" s="28" t="str">
        <f>Transaction[[#This Row],[Month]]</f>
        <v>Jan</v>
      </c>
    </row>
    <row r="31" spans="1:21" x14ac:dyDescent="0.3">
      <c r="A31" s="15">
        <v>30</v>
      </c>
      <c r="B31" s="12">
        <v>46053</v>
      </c>
      <c r="C31" s="13" t="s">
        <v>17</v>
      </c>
      <c r="D31" s="13" t="s">
        <v>45</v>
      </c>
      <c r="E31" s="13" t="s">
        <v>11</v>
      </c>
      <c r="F31" s="14">
        <v>1200</v>
      </c>
      <c r="G31" s="13" t="str">
        <f>TEXT(Transactions!$B31,"mmm")</f>
        <v>Jan</v>
      </c>
      <c r="H31" s="28" t="str">
        <f>Transaction[[#This Row],[Month]]</f>
        <v>Jan</v>
      </c>
    </row>
    <row r="32" spans="1:21" x14ac:dyDescent="0.3">
      <c r="A32" s="11">
        <v>31</v>
      </c>
      <c r="B32" s="8">
        <v>46054</v>
      </c>
      <c r="C32" s="9" t="s">
        <v>6</v>
      </c>
      <c r="D32" s="9" t="s">
        <v>7</v>
      </c>
      <c r="E32" s="9" t="s">
        <v>8</v>
      </c>
      <c r="F32" s="10">
        <v>35000</v>
      </c>
      <c r="G32" s="9" t="str">
        <f>TEXT(Transactions!$B32,"mmm")</f>
        <v>Feb</v>
      </c>
      <c r="H32" s="28" t="str">
        <f>Transaction[[#This Row],[Month]]</f>
        <v>Feb</v>
      </c>
    </row>
    <row r="33" spans="1:8" x14ac:dyDescent="0.3">
      <c r="A33" s="15">
        <v>32</v>
      </c>
      <c r="B33" s="12">
        <v>46055</v>
      </c>
      <c r="C33" s="13" t="s">
        <v>9</v>
      </c>
      <c r="D33" s="13" t="s">
        <v>10</v>
      </c>
      <c r="E33" s="13" t="s">
        <v>11</v>
      </c>
      <c r="F33" s="14">
        <v>70</v>
      </c>
      <c r="G33" s="13" t="str">
        <f>TEXT(Transactions!$B33,"mmm")</f>
        <v>Feb</v>
      </c>
      <c r="H33" s="28" t="str">
        <f>Transaction[[#This Row],[Month]]</f>
        <v>Feb</v>
      </c>
    </row>
    <row r="34" spans="1:8" x14ac:dyDescent="0.3">
      <c r="A34" s="11">
        <v>33</v>
      </c>
      <c r="B34" s="8">
        <v>46055</v>
      </c>
      <c r="C34" s="9" t="s">
        <v>12</v>
      </c>
      <c r="D34" s="9" t="s">
        <v>13</v>
      </c>
      <c r="E34" s="9" t="s">
        <v>11</v>
      </c>
      <c r="F34" s="10">
        <v>40</v>
      </c>
      <c r="G34" s="9" t="str">
        <f>TEXT(Transactions!$B34,"mmm")</f>
        <v>Feb</v>
      </c>
      <c r="H34" s="28" t="str">
        <f>Transaction[[#This Row],[Month]]</f>
        <v>Feb</v>
      </c>
    </row>
    <row r="35" spans="1:8" x14ac:dyDescent="0.3">
      <c r="A35" s="15">
        <v>34</v>
      </c>
      <c r="B35" s="12">
        <v>46056</v>
      </c>
      <c r="C35" s="13" t="s">
        <v>9</v>
      </c>
      <c r="D35" s="13" t="s">
        <v>14</v>
      </c>
      <c r="E35" s="13" t="s">
        <v>11</v>
      </c>
      <c r="F35" s="14">
        <v>150</v>
      </c>
      <c r="G35" s="13" t="str">
        <f>TEXT(Transactions!$B35,"mmm")</f>
        <v>Feb</v>
      </c>
      <c r="H35" s="28" t="str">
        <f>Transaction[[#This Row],[Month]]</f>
        <v>Feb</v>
      </c>
    </row>
    <row r="36" spans="1:8" x14ac:dyDescent="0.3">
      <c r="A36" s="11">
        <v>35</v>
      </c>
      <c r="B36" s="8">
        <v>46056</v>
      </c>
      <c r="C36" s="9" t="s">
        <v>15</v>
      </c>
      <c r="D36" s="9" t="s">
        <v>16</v>
      </c>
      <c r="E36" s="9" t="s">
        <v>11</v>
      </c>
      <c r="F36" s="10">
        <v>249</v>
      </c>
      <c r="G36" s="9" t="str">
        <f>TEXT(Transactions!$B36,"mmm")</f>
        <v>Feb</v>
      </c>
      <c r="H36" s="28" t="str">
        <f>Transaction[[#This Row],[Month]]</f>
        <v>Feb</v>
      </c>
    </row>
    <row r="37" spans="1:8" x14ac:dyDescent="0.3">
      <c r="A37" s="15">
        <v>36</v>
      </c>
      <c r="B37" s="12">
        <v>46057</v>
      </c>
      <c r="C37" s="13" t="s">
        <v>17</v>
      </c>
      <c r="D37" s="13" t="s">
        <v>18</v>
      </c>
      <c r="E37" s="13" t="s">
        <v>11</v>
      </c>
      <c r="F37" s="14">
        <v>200</v>
      </c>
      <c r="G37" s="13" t="str">
        <f>TEXT(Transactions!$B37,"mmm")</f>
        <v>Feb</v>
      </c>
      <c r="H37" s="28" t="str">
        <f>Transaction[[#This Row],[Month]]</f>
        <v>Feb</v>
      </c>
    </row>
    <row r="38" spans="1:8" x14ac:dyDescent="0.3">
      <c r="A38" s="11">
        <v>37</v>
      </c>
      <c r="B38" s="8">
        <v>46060</v>
      </c>
      <c r="C38" s="9" t="s">
        <v>19</v>
      </c>
      <c r="D38" s="9" t="s">
        <v>46</v>
      </c>
      <c r="E38" s="9" t="s">
        <v>11</v>
      </c>
      <c r="F38" s="10">
        <v>1999</v>
      </c>
      <c r="G38" s="9" t="str">
        <f>TEXT(Transactions!$B38,"mmm")</f>
        <v>Feb</v>
      </c>
      <c r="H38" s="28" t="str">
        <f>Transaction[[#This Row],[Month]]</f>
        <v>Feb</v>
      </c>
    </row>
    <row r="39" spans="1:8" x14ac:dyDescent="0.3">
      <c r="A39" s="15">
        <v>38</v>
      </c>
      <c r="B39" s="12">
        <v>46061</v>
      </c>
      <c r="C39" s="13" t="s">
        <v>21</v>
      </c>
      <c r="D39" s="13" t="s">
        <v>47</v>
      </c>
      <c r="E39" s="13" t="s">
        <v>11</v>
      </c>
      <c r="F39" s="14">
        <v>275</v>
      </c>
      <c r="G39" s="13" t="str">
        <f>TEXT(Transactions!$B39,"mmm")</f>
        <v>Feb</v>
      </c>
      <c r="H39" s="28" t="str">
        <f>Transaction[[#This Row],[Month]]</f>
        <v>Feb</v>
      </c>
    </row>
    <row r="40" spans="1:8" x14ac:dyDescent="0.3">
      <c r="A40" s="11">
        <v>39</v>
      </c>
      <c r="B40" s="8">
        <v>46062</v>
      </c>
      <c r="C40" s="9" t="s">
        <v>23</v>
      </c>
      <c r="D40" s="9" t="s">
        <v>48</v>
      </c>
      <c r="E40" s="9" t="s">
        <v>11</v>
      </c>
      <c r="F40" s="10">
        <v>120</v>
      </c>
      <c r="G40" s="9" t="str">
        <f>TEXT(Transactions!$B40,"mmm")</f>
        <v>Feb</v>
      </c>
      <c r="H40" s="28" t="str">
        <f>Transaction[[#This Row],[Month]]</f>
        <v>Feb</v>
      </c>
    </row>
    <row r="41" spans="1:8" x14ac:dyDescent="0.3">
      <c r="A41" s="15">
        <v>40</v>
      </c>
      <c r="B41" s="12">
        <v>46063</v>
      </c>
      <c r="C41" s="13" t="s">
        <v>25</v>
      </c>
      <c r="D41" s="13" t="s">
        <v>49</v>
      </c>
      <c r="E41" s="13" t="s">
        <v>8</v>
      </c>
      <c r="F41" s="14">
        <v>4500</v>
      </c>
      <c r="G41" s="13" t="str">
        <f>TEXT(Transactions!$B41,"mmm")</f>
        <v>Feb</v>
      </c>
      <c r="H41" s="28" t="str">
        <f>Transaction[[#This Row],[Month]]</f>
        <v>Feb</v>
      </c>
    </row>
    <row r="42" spans="1:8" x14ac:dyDescent="0.3">
      <c r="A42" s="11">
        <v>41</v>
      </c>
      <c r="B42" s="8">
        <v>46064</v>
      </c>
      <c r="C42" s="9" t="s">
        <v>9</v>
      </c>
      <c r="D42" s="9" t="s">
        <v>35</v>
      </c>
      <c r="E42" s="9" t="s">
        <v>11</v>
      </c>
      <c r="F42" s="10">
        <v>2100</v>
      </c>
      <c r="G42" s="9" t="str">
        <f>TEXT(Transactions!$B42,"mmm")</f>
        <v>Feb</v>
      </c>
      <c r="H42" s="28" t="str">
        <f>Transaction[[#This Row],[Month]]</f>
        <v>Feb</v>
      </c>
    </row>
    <row r="43" spans="1:8" x14ac:dyDescent="0.3">
      <c r="A43" s="15">
        <v>42</v>
      </c>
      <c r="B43" s="12">
        <v>46065</v>
      </c>
      <c r="C43" s="13" t="s">
        <v>12</v>
      </c>
      <c r="D43" s="13" t="s">
        <v>36</v>
      </c>
      <c r="E43" s="13" t="s">
        <v>11</v>
      </c>
      <c r="F43" s="14">
        <v>1200</v>
      </c>
      <c r="G43" s="13" t="str">
        <f>TEXT(Transactions!$B43,"mmm")</f>
        <v>Feb</v>
      </c>
      <c r="H43" s="28" t="str">
        <f>Transaction[[#This Row],[Month]]</f>
        <v>Feb</v>
      </c>
    </row>
    <row r="44" spans="1:8" x14ac:dyDescent="0.3">
      <c r="A44" s="11">
        <v>43</v>
      </c>
      <c r="B44" s="8">
        <v>46066</v>
      </c>
      <c r="C44" s="9" t="s">
        <v>19</v>
      </c>
      <c r="D44" s="9" t="s">
        <v>50</v>
      </c>
      <c r="E44" s="9" t="s">
        <v>11</v>
      </c>
      <c r="F44" s="10">
        <v>2499</v>
      </c>
      <c r="G44" s="9" t="str">
        <f>TEXT(Transactions!$B44,"mmm")</f>
        <v>Feb</v>
      </c>
      <c r="H44" s="28" t="str">
        <f>Transaction[[#This Row],[Month]]</f>
        <v>Feb</v>
      </c>
    </row>
    <row r="45" spans="1:8" x14ac:dyDescent="0.3">
      <c r="A45" s="15">
        <v>44</v>
      </c>
      <c r="B45" s="12">
        <v>46067</v>
      </c>
      <c r="C45" s="13" t="s">
        <v>17</v>
      </c>
      <c r="D45" s="13" t="s">
        <v>51</v>
      </c>
      <c r="E45" s="13" t="s">
        <v>11</v>
      </c>
      <c r="F45" s="14">
        <v>850</v>
      </c>
      <c r="G45" s="13" t="str">
        <f>TEXT(Transactions!$B45,"mmm")</f>
        <v>Feb</v>
      </c>
      <c r="H45" s="28" t="str">
        <f>Transaction[[#This Row],[Month]]</f>
        <v>Feb</v>
      </c>
    </row>
    <row r="46" spans="1:8" x14ac:dyDescent="0.3">
      <c r="A46" s="11">
        <v>45</v>
      </c>
      <c r="B46" s="8">
        <v>46068</v>
      </c>
      <c r="C46" s="9" t="s">
        <v>15</v>
      </c>
      <c r="D46" s="9" t="s">
        <v>52</v>
      </c>
      <c r="E46" s="9" t="s">
        <v>11</v>
      </c>
      <c r="F46" s="10">
        <v>1300</v>
      </c>
      <c r="G46" s="9" t="str">
        <f>TEXT(Transactions!$B46,"mmm")</f>
        <v>Feb</v>
      </c>
      <c r="H46" s="28" t="str">
        <f>Transaction[[#This Row],[Month]]</f>
        <v>Feb</v>
      </c>
    </row>
    <row r="47" spans="1:8" x14ac:dyDescent="0.3">
      <c r="A47" s="15">
        <v>46</v>
      </c>
      <c r="B47" s="12">
        <v>46069</v>
      </c>
      <c r="C47" s="13" t="s">
        <v>21</v>
      </c>
      <c r="D47" s="13" t="s">
        <v>53</v>
      </c>
      <c r="E47" s="13" t="s">
        <v>11</v>
      </c>
      <c r="F47" s="14">
        <v>900</v>
      </c>
      <c r="G47" s="13" t="str">
        <f>TEXT(Transactions!$B47,"mmm")</f>
        <v>Feb</v>
      </c>
      <c r="H47" s="28" t="str">
        <f>Transaction[[#This Row],[Month]]</f>
        <v>Feb</v>
      </c>
    </row>
    <row r="48" spans="1:8" x14ac:dyDescent="0.3">
      <c r="A48" s="11">
        <v>47</v>
      </c>
      <c r="B48" s="8">
        <v>46070</v>
      </c>
      <c r="C48" s="9" t="s">
        <v>23</v>
      </c>
      <c r="D48" s="9" t="s">
        <v>54</v>
      </c>
      <c r="E48" s="9" t="s">
        <v>11</v>
      </c>
      <c r="F48" s="10">
        <v>1499</v>
      </c>
      <c r="G48" s="9" t="str">
        <f>TEXT(Transactions!$B48,"mmm")</f>
        <v>Feb</v>
      </c>
      <c r="H48" s="28" t="str">
        <f>Transaction[[#This Row],[Month]]</f>
        <v>Feb</v>
      </c>
    </row>
    <row r="49" spans="1:8" x14ac:dyDescent="0.3">
      <c r="A49" s="15">
        <v>48</v>
      </c>
      <c r="B49" s="12">
        <v>46071</v>
      </c>
      <c r="C49" s="13" t="s">
        <v>9</v>
      </c>
      <c r="D49" s="13" t="s">
        <v>30</v>
      </c>
      <c r="E49" s="13" t="s">
        <v>11</v>
      </c>
      <c r="F49" s="14">
        <v>80</v>
      </c>
      <c r="G49" s="13" t="str">
        <f>TEXT(Transactions!$B49,"mmm")</f>
        <v>Feb</v>
      </c>
      <c r="H49" s="28" t="str">
        <f>Transaction[[#This Row],[Month]]</f>
        <v>Feb</v>
      </c>
    </row>
    <row r="50" spans="1:8" x14ac:dyDescent="0.3">
      <c r="A50" s="11">
        <v>49</v>
      </c>
      <c r="B50" s="8">
        <v>46072</v>
      </c>
      <c r="C50" s="9" t="s">
        <v>12</v>
      </c>
      <c r="D50" s="9" t="s">
        <v>43</v>
      </c>
      <c r="E50" s="9" t="s">
        <v>11</v>
      </c>
      <c r="F50" s="10">
        <v>420</v>
      </c>
      <c r="G50" s="9" t="str">
        <f>TEXT(Transactions!$B50,"mmm")</f>
        <v>Feb</v>
      </c>
      <c r="H50" s="28" t="str">
        <f>Transaction[[#This Row],[Month]]</f>
        <v>Feb</v>
      </c>
    </row>
    <row r="51" spans="1:8" x14ac:dyDescent="0.3">
      <c r="A51" s="11">
        <v>50</v>
      </c>
      <c r="B51" s="8">
        <v>46073</v>
      </c>
      <c r="C51" s="9" t="s">
        <v>9</v>
      </c>
      <c r="D51" s="9" t="s">
        <v>14</v>
      </c>
      <c r="E51" s="9" t="s">
        <v>11</v>
      </c>
      <c r="F51" s="10">
        <v>1000</v>
      </c>
      <c r="G51" s="9" t="str">
        <f>TEXT(Transactions!$B51,"mmm")</f>
        <v>Feb</v>
      </c>
      <c r="H51" s="28" t="str">
        <f>Transaction[[#This Row],[Month]]</f>
        <v>Feb</v>
      </c>
    </row>
    <row r="52" spans="1:8" x14ac:dyDescent="0.3">
      <c r="A52" s="11">
        <v>51</v>
      </c>
      <c r="B52" s="8">
        <v>46073</v>
      </c>
      <c r="C52" s="9" t="s">
        <v>58</v>
      </c>
      <c r="D52" s="9" t="s">
        <v>87</v>
      </c>
      <c r="E52" s="9" t="s">
        <v>11</v>
      </c>
      <c r="F52" s="10">
        <v>3000</v>
      </c>
      <c r="G52" s="9" t="str">
        <f>TEXT(Transactions!$B52,"mmm")</f>
        <v>Feb</v>
      </c>
      <c r="H52" s="28" t="str">
        <f>Transaction[[#This Row],[Month]]</f>
        <v>Feb</v>
      </c>
    </row>
    <row r="53" spans="1:8" hidden="1" x14ac:dyDescent="0.3">
      <c r="A53" s="11"/>
      <c r="B53" s="8"/>
      <c r="C53" s="9"/>
      <c r="D53" s="9"/>
      <c r="E53" s="9"/>
      <c r="F53" s="10"/>
      <c r="G53" s="9"/>
      <c r="H53" s="28"/>
    </row>
  </sheetData>
  <pageMargins left="0.7" right="0.7" top="0.75" bottom="0.75" header="0.3" footer="0.3"/>
  <drawing r:id="rId6"/>
  <tableParts count="1">
    <tablePart r:id="rId7"/>
  </tableParts>
  <extLst>
    <ext xmlns:x14="http://schemas.microsoft.com/office/spreadsheetml/2009/9/main" uri="{A8765BA9-456A-4dab-B4F3-ACF838C121DE}">
      <x14:slicerList>
        <x14:slicer r:id="rId8"/>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DD69AE-B1F3-4CFA-B93D-707E45549F05}">
  <sheetPr codeName="Sheet3"/>
  <dimension ref="A1:M12"/>
  <sheetViews>
    <sheetView workbookViewId="0">
      <selection activeCell="G5" sqref="G5"/>
    </sheetView>
  </sheetViews>
  <sheetFormatPr defaultRowHeight="14.4" x14ac:dyDescent="0.3"/>
  <cols>
    <col min="1" max="1" width="18.6640625" bestFit="1" customWidth="1"/>
    <col min="2" max="2" width="16.5546875" customWidth="1"/>
    <col min="3" max="3" width="15.33203125" customWidth="1"/>
    <col min="6" max="6" width="15.44140625" customWidth="1"/>
    <col min="7" max="7" width="17.44140625" style="6" customWidth="1"/>
    <col min="8" max="8" width="16.21875" style="6" customWidth="1"/>
    <col min="9" max="9" width="10.44140625" customWidth="1"/>
    <col min="11" max="11" width="18.6640625" bestFit="1" customWidth="1"/>
    <col min="12" max="12" width="10.109375" customWidth="1"/>
    <col min="13" max="13" width="9.33203125" bestFit="1" customWidth="1"/>
  </cols>
  <sheetData>
    <row r="1" spans="1:13" x14ac:dyDescent="0.3">
      <c r="A1" t="s">
        <v>1</v>
      </c>
      <c r="B1" t="s">
        <v>55</v>
      </c>
      <c r="C1" t="s">
        <v>56</v>
      </c>
      <c r="F1" s="1" t="s">
        <v>61</v>
      </c>
      <c r="G1" s="7"/>
      <c r="H1" s="7"/>
      <c r="K1" s="1" t="s">
        <v>67</v>
      </c>
      <c r="L1" s="1"/>
      <c r="M1" s="1"/>
    </row>
    <row r="2" spans="1:13" x14ac:dyDescent="0.3">
      <c r="A2" t="s">
        <v>9</v>
      </c>
      <c r="B2">
        <v>6000</v>
      </c>
      <c r="C2">
        <f>Table3[[#This Row],[Monthly Budget]]*12</f>
        <v>72000</v>
      </c>
      <c r="F2" t="s">
        <v>62</v>
      </c>
      <c r="G2" s="6" t="s">
        <v>63</v>
      </c>
      <c r="H2" s="6" t="s">
        <v>64</v>
      </c>
      <c r="K2" t="s">
        <v>68</v>
      </c>
      <c r="L2" t="s">
        <v>69</v>
      </c>
      <c r="M2" t="s">
        <v>70</v>
      </c>
    </row>
    <row r="3" spans="1:13" x14ac:dyDescent="0.3">
      <c r="A3" t="s">
        <v>12</v>
      </c>
      <c r="B3">
        <v>3000</v>
      </c>
      <c r="C3">
        <f>Table3[[#This Row],[Monthly Budget]]*12</f>
        <v>36000</v>
      </c>
      <c r="F3" t="s">
        <v>6</v>
      </c>
      <c r="G3" s="6">
        <v>35000</v>
      </c>
      <c r="H3" s="6">
        <f>Table4[[#This Row],[Monthly Amount]]*12</f>
        <v>420000</v>
      </c>
      <c r="K3" t="s">
        <v>66</v>
      </c>
      <c r="L3" s="6">
        <f>G5</f>
        <v>39500</v>
      </c>
      <c r="M3" s="6">
        <f>H5</f>
        <v>474000</v>
      </c>
    </row>
    <row r="4" spans="1:13" x14ac:dyDescent="0.3">
      <c r="A4" t="s">
        <v>19</v>
      </c>
      <c r="B4">
        <v>5000</v>
      </c>
      <c r="C4">
        <f>Table3[[#This Row],[Monthly Budget]]*12</f>
        <v>60000</v>
      </c>
      <c r="F4" t="s">
        <v>65</v>
      </c>
      <c r="G4" s="6">
        <v>4500</v>
      </c>
      <c r="H4" s="6">
        <f>Table4[[#This Row],[Monthly Amount]]*12</f>
        <v>54000</v>
      </c>
      <c r="K4" t="s">
        <v>60</v>
      </c>
      <c r="L4" s="6">
        <f>B12</f>
        <v>32000</v>
      </c>
      <c r="M4" s="6">
        <f>C12</f>
        <v>384000</v>
      </c>
    </row>
    <row r="5" spans="1:13" x14ac:dyDescent="0.3">
      <c r="A5" t="s">
        <v>17</v>
      </c>
      <c r="B5">
        <v>3000</v>
      </c>
      <c r="C5">
        <f>Table3[[#This Row],[Monthly Budget]]*12</f>
        <v>36000</v>
      </c>
      <c r="F5" t="s">
        <v>66</v>
      </c>
      <c r="G5" s="6">
        <f>SUM(G3:G4)</f>
        <v>39500</v>
      </c>
      <c r="H5" s="6">
        <f>Table4[[#This Row],[Monthly Amount]]*12</f>
        <v>474000</v>
      </c>
      <c r="K5" t="s">
        <v>71</v>
      </c>
      <c r="L5" s="6">
        <f>L3-L4</f>
        <v>7500</v>
      </c>
      <c r="M5" s="6">
        <f>M3-M4</f>
        <v>90000</v>
      </c>
    </row>
    <row r="6" spans="1:13" x14ac:dyDescent="0.3">
      <c r="A6" t="s">
        <v>15</v>
      </c>
      <c r="B6">
        <v>2500</v>
      </c>
      <c r="C6">
        <f>Table3[[#This Row],[Monthly Budget]]*12</f>
        <v>30000</v>
      </c>
    </row>
    <row r="7" spans="1:13" x14ac:dyDescent="0.3">
      <c r="A7" t="s">
        <v>21</v>
      </c>
      <c r="B7">
        <v>2000</v>
      </c>
      <c r="C7">
        <f>Table3[[#This Row],[Monthly Budget]]*12</f>
        <v>24000</v>
      </c>
    </row>
    <row r="8" spans="1:13" x14ac:dyDescent="0.3">
      <c r="A8" t="s">
        <v>23</v>
      </c>
      <c r="B8">
        <v>3000</v>
      </c>
      <c r="C8">
        <f>Table3[[#This Row],[Monthly Budget]]*12</f>
        <v>36000</v>
      </c>
    </row>
    <row r="9" spans="1:13" x14ac:dyDescent="0.3">
      <c r="A9" t="s">
        <v>57</v>
      </c>
      <c r="B9">
        <v>1500</v>
      </c>
      <c r="C9">
        <f>Table3[[#This Row],[Monthly Budget]]*12</f>
        <v>18000</v>
      </c>
      <c r="L9" s="2"/>
    </row>
    <row r="10" spans="1:13" x14ac:dyDescent="0.3">
      <c r="A10" t="s">
        <v>58</v>
      </c>
      <c r="B10">
        <v>4000</v>
      </c>
      <c r="C10">
        <f>Table3[[#This Row],[Monthly Budget]]*12</f>
        <v>48000</v>
      </c>
    </row>
    <row r="11" spans="1:13" x14ac:dyDescent="0.3">
      <c r="A11" t="s">
        <v>59</v>
      </c>
      <c r="B11">
        <v>2000</v>
      </c>
      <c r="C11">
        <f>Table3[[#This Row],[Monthly Budget]]*12</f>
        <v>24000</v>
      </c>
    </row>
    <row r="12" spans="1:13" x14ac:dyDescent="0.3">
      <c r="A12" t="s">
        <v>60</v>
      </c>
      <c r="B12">
        <f>SUM(B2:B11)</f>
        <v>32000</v>
      </c>
      <c r="C12">
        <f>Table3[[#This Row],[Monthly Budget]]*12</f>
        <v>384000</v>
      </c>
    </row>
  </sheetData>
  <pageMargins left="0.7" right="0.7" top="0.75" bottom="0.75" header="0.3" footer="0.3"/>
  <tableParts count="3">
    <tablePart r:id="rId1"/>
    <tablePart r:id="rId2"/>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DD465-B76E-456D-B22A-54D4702391DA}">
  <sheetPr codeName="Sheet4"/>
  <dimension ref="C11:G22"/>
  <sheetViews>
    <sheetView showGridLines="0" showRowColHeaders="0" tabSelected="1" zoomScale="102" zoomScaleNormal="100" workbookViewId="0">
      <selection activeCell="U15" sqref="U15"/>
    </sheetView>
  </sheetViews>
  <sheetFormatPr defaultRowHeight="14.4" x14ac:dyDescent="0.3"/>
  <cols>
    <col min="3" max="3" width="13.77734375" bestFit="1" customWidth="1"/>
    <col min="6" max="6" width="10.21875" bestFit="1" customWidth="1"/>
    <col min="7" max="7" width="13.6640625" bestFit="1" customWidth="1"/>
    <col min="20" max="20" width="9.21875" customWidth="1"/>
    <col min="21" max="21" width="10" customWidth="1"/>
    <col min="31" max="31" width="13.44140625" bestFit="1" customWidth="1"/>
    <col min="32" max="32" width="14.44140625" bestFit="1" customWidth="1"/>
  </cols>
  <sheetData>
    <row r="11" spans="3:7" x14ac:dyDescent="0.3">
      <c r="C11" s="21" t="s">
        <v>1</v>
      </c>
      <c r="D11" s="21" t="s">
        <v>73</v>
      </c>
      <c r="E11" s="21" t="s">
        <v>74</v>
      </c>
      <c r="F11" s="21" t="s">
        <v>75</v>
      </c>
      <c r="G11" s="21" t="s">
        <v>76</v>
      </c>
    </row>
    <row r="12" spans="3:7" x14ac:dyDescent="0.3">
      <c r="C12" s="22" t="s">
        <v>9</v>
      </c>
      <c r="D12" s="23">
        <f>_xlfn.XLOOKUP(C12,Budget!A:A,Budget!B:B)*Transactions!$S$21</f>
        <v>6000</v>
      </c>
      <c r="E12" s="23">
        <f>IFERROR(GETPIVOTDATA("Sum Of Amount",'KPI cards'!$G$3,"Category",Dashboard!C12),0)</f>
        <v>3400</v>
      </c>
      <c r="F12" s="23">
        <f>D12-E12</f>
        <v>2600</v>
      </c>
      <c r="G12" s="24" t="str">
        <f>IF(F12&gt;0,"Within budget","Over spent")</f>
        <v>Within budget</v>
      </c>
    </row>
    <row r="13" spans="3:7" x14ac:dyDescent="0.3">
      <c r="C13" s="22" t="s">
        <v>12</v>
      </c>
      <c r="D13" s="23">
        <f>_xlfn.XLOOKUP(C13,Budget!A:A,Budget!B:B)*Transactions!$S$21</f>
        <v>3000</v>
      </c>
      <c r="E13" s="23">
        <f>IFERROR(GETPIVOTDATA("Sum Of Amount",'KPI cards'!$G$3,"Category",Dashboard!C13),0)</f>
        <v>1660</v>
      </c>
      <c r="F13" s="23">
        <f t="shared" ref="F13:F21" si="0">D13-E13</f>
        <v>1340</v>
      </c>
      <c r="G13" s="24" t="str">
        <f t="shared" ref="G13:G22" si="1">IF(F13&gt;0,"Within budget","Over spent")</f>
        <v>Within budget</v>
      </c>
    </row>
    <row r="14" spans="3:7" x14ac:dyDescent="0.3">
      <c r="C14" s="22" t="s">
        <v>19</v>
      </c>
      <c r="D14" s="23">
        <f>_xlfn.XLOOKUP(C14,Budget!A:A,Budget!B:B)*Transactions!$S$21</f>
        <v>5000</v>
      </c>
      <c r="E14" s="23">
        <f>IFERROR(GETPIVOTDATA("Sum Of Amount",'KPI cards'!$G$3,"Category",Dashboard!C14),0)</f>
        <v>4498</v>
      </c>
      <c r="F14" s="23">
        <f t="shared" si="0"/>
        <v>502</v>
      </c>
      <c r="G14" s="24" t="str">
        <f t="shared" si="1"/>
        <v>Within budget</v>
      </c>
    </row>
    <row r="15" spans="3:7" x14ac:dyDescent="0.3">
      <c r="C15" s="22" t="s">
        <v>17</v>
      </c>
      <c r="D15" s="23">
        <f>_xlfn.XLOOKUP(C15,Budget!A:A,Budget!B:B)*Transactions!$S$21</f>
        <v>3000</v>
      </c>
      <c r="E15" s="23">
        <f>IFERROR(GETPIVOTDATA("Sum Of Amount",'KPI cards'!$G$3,"Category",Dashboard!C15),0)</f>
        <v>1050</v>
      </c>
      <c r="F15" s="23">
        <f t="shared" si="0"/>
        <v>1950</v>
      </c>
      <c r="G15" s="24" t="str">
        <f t="shared" si="1"/>
        <v>Within budget</v>
      </c>
    </row>
    <row r="16" spans="3:7" x14ac:dyDescent="0.3">
      <c r="C16" s="22" t="s">
        <v>15</v>
      </c>
      <c r="D16" s="23">
        <f>_xlfn.XLOOKUP(C16,Budget!A:A,Budget!B:B)*Transactions!$S$21</f>
        <v>2500</v>
      </c>
      <c r="E16" s="23">
        <f>IFERROR(GETPIVOTDATA("Sum Of Amount",'KPI cards'!$G$3,"Category",Dashboard!C16),0)</f>
        <v>1549</v>
      </c>
      <c r="F16" s="23">
        <f t="shared" si="0"/>
        <v>951</v>
      </c>
      <c r="G16" s="24" t="str">
        <f t="shared" si="1"/>
        <v>Within budget</v>
      </c>
    </row>
    <row r="17" spans="3:7" x14ac:dyDescent="0.3">
      <c r="C17" s="22" t="s">
        <v>21</v>
      </c>
      <c r="D17" s="23">
        <f>_xlfn.XLOOKUP(C17,Budget!A:A,Budget!B:B)*Transactions!$S$21</f>
        <v>2000</v>
      </c>
      <c r="E17" s="23">
        <f>IFERROR(GETPIVOTDATA("Sum Of Amount",'KPI cards'!$G$3,"Category",Dashboard!C17),0)</f>
        <v>1175</v>
      </c>
      <c r="F17" s="23">
        <f t="shared" si="0"/>
        <v>825</v>
      </c>
      <c r="G17" s="24" t="str">
        <f t="shared" si="1"/>
        <v>Within budget</v>
      </c>
    </row>
    <row r="18" spans="3:7" x14ac:dyDescent="0.3">
      <c r="C18" s="22" t="s">
        <v>23</v>
      </c>
      <c r="D18" s="23">
        <f>_xlfn.XLOOKUP(C18,Budget!A:A,Budget!B:B)*Transactions!$S$21</f>
        <v>3000</v>
      </c>
      <c r="E18" s="23">
        <f>IFERROR(GETPIVOTDATA("Sum Of Amount",'KPI cards'!$G$3,"Category",Dashboard!C18),0)</f>
        <v>1619</v>
      </c>
      <c r="F18" s="23">
        <f t="shared" si="0"/>
        <v>1381</v>
      </c>
      <c r="G18" s="24" t="str">
        <f t="shared" si="1"/>
        <v>Within budget</v>
      </c>
    </row>
    <row r="19" spans="3:7" x14ac:dyDescent="0.3">
      <c r="C19" s="22" t="s">
        <v>72</v>
      </c>
      <c r="D19" s="23">
        <f>_xlfn.XLOOKUP(C19,Budget!A:A,Budget!B:B)*Transactions!$S$21</f>
        <v>1500</v>
      </c>
      <c r="E19" s="23">
        <f>IFERROR(GETPIVOTDATA("Sum Of Amount",'KPI cards'!$G$3,"Category",Dashboard!C19),0)</f>
        <v>0</v>
      </c>
      <c r="F19" s="23">
        <f t="shared" si="0"/>
        <v>1500</v>
      </c>
      <c r="G19" s="24" t="str">
        <f t="shared" si="1"/>
        <v>Within budget</v>
      </c>
    </row>
    <row r="20" spans="3:7" x14ac:dyDescent="0.3">
      <c r="C20" s="22" t="s">
        <v>58</v>
      </c>
      <c r="D20" s="23">
        <f>_xlfn.XLOOKUP(C20,Budget!A:A,Budget!B:B)*Transactions!$S$21</f>
        <v>4000</v>
      </c>
      <c r="E20" s="23">
        <f>IFERROR(GETPIVOTDATA("Sum Of Amount",'KPI cards'!$G$3,"Category",Dashboard!C20),0)</f>
        <v>0</v>
      </c>
      <c r="F20" s="23">
        <f t="shared" si="0"/>
        <v>4000</v>
      </c>
      <c r="G20" s="24" t="str">
        <f t="shared" si="1"/>
        <v>Within budget</v>
      </c>
    </row>
    <row r="21" spans="3:7" x14ac:dyDescent="0.3">
      <c r="C21" s="22" t="s">
        <v>59</v>
      </c>
      <c r="D21" s="23">
        <f>_xlfn.XLOOKUP(C21,Budget!A:A,Budget!B:B)*Transactions!$S$21</f>
        <v>2000</v>
      </c>
      <c r="E21" s="23">
        <f>IFERROR(GETPIVOTDATA("Sum Of Amount",'KPI cards'!$G$3,"Category",Dashboard!C21),0)</f>
        <v>0</v>
      </c>
      <c r="F21" s="23">
        <f t="shared" si="0"/>
        <v>2000</v>
      </c>
      <c r="G21" s="24" t="str">
        <f t="shared" si="1"/>
        <v>Within budget</v>
      </c>
    </row>
    <row r="22" spans="3:7" x14ac:dyDescent="0.3">
      <c r="C22" s="21" t="s">
        <v>77</v>
      </c>
      <c r="D22" s="25">
        <f>SUM(D12:D21)</f>
        <v>32000</v>
      </c>
      <c r="E22" s="25">
        <f>SUM(E12:E21)</f>
        <v>14951</v>
      </c>
      <c r="F22" s="25">
        <f>D22-E22</f>
        <v>17049</v>
      </c>
      <c r="G22" s="26" t="str">
        <f t="shared" si="1"/>
        <v>Within budget</v>
      </c>
    </row>
  </sheetData>
  <conditionalFormatting sqref="F12:F22">
    <cfRule type="cellIs" dxfId="3" priority="1" operator="lessThan">
      <formula>0</formula>
    </cfRule>
  </conditionalFormatting>
  <conditionalFormatting sqref="G12:G22">
    <cfRule type="containsText" dxfId="2" priority="2" operator="containsText" text="Over spent">
      <formula>NOT(ISERROR(SEARCH("Over spent",G12)))</formula>
    </cfRule>
    <cfRule type="containsText" dxfId="1" priority="3" operator="containsText" text="Overspent">
      <formula>NOT(ISERROR(SEARCH("Overspent",G12)))</formula>
    </cfRule>
  </conditionalFormatting>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KPI cards</vt:lpstr>
      <vt:lpstr>Transactions</vt:lpstr>
      <vt:lpstr>Budget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Donishka V</dc:creator>
  <cp:lastModifiedBy>Donishka V</cp:lastModifiedBy>
  <dcterms:created xsi:type="dcterms:W3CDTF">2026-05-20T07:08:41Z</dcterms:created>
  <dcterms:modified xsi:type="dcterms:W3CDTF">2026-05-24T11:47:43Z</dcterms:modified>
</cp:coreProperties>
</file>